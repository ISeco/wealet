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nero 2026" sheetId="1" r:id="rId5"/>
    <sheet state="visible" name="Febrero 2026" sheetId="2" r:id="rId6"/>
    <sheet state="visible" name="Marzo 2026" sheetId="3" r:id="rId7"/>
    <sheet state="visible" name="Abril 2026" sheetId="4" r:id="rId8"/>
    <sheet state="visible" name="Mayo 2026" sheetId="5" r:id="rId9"/>
    <sheet state="visible" name="Junio 2026" sheetId="6" r:id="rId10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J9">
      <text>
        <t xml:space="preserve">Traspaso de fondos en Match</t>
      </text>
    </comment>
    <comment authorId="0" ref="K9">
      <text>
        <t xml:space="preserve">Compra pan</t>
      </text>
    </comment>
    <comment authorId="0" ref="J5">
      <text>
        <t xml:space="preserve">Salida gym bros</t>
      </text>
    </comment>
    <comment authorId="0" ref="K5">
      <text>
        <t xml:space="preserve">Compra Unimarc</t>
      </text>
    </comment>
    <comment authorId="0" ref="L5">
      <text>
        <t xml:space="preserve">Abono Crédito Papá </t>
      </text>
    </comment>
    <comment authorId="0" ref="M5">
      <text>
        <t xml:space="preserve">Compra Mercancía </t>
      </text>
    </comment>
    <comment authorId="0" ref="J30">
      <text>
        <t xml:space="preserve">Halcón Milenario Cuota 02/03</t>
      </text>
    </comment>
    <comment authorId="0" ref="J26">
      <text>
        <t xml:space="preserve">Creatina</t>
      </text>
    </comment>
    <comment authorId="0" ref="J22">
      <text>
        <t xml:space="preserve">Pago Tarjeta de Crédito Internacional</t>
      </text>
    </comment>
    <comment authorId="0" ref="J18">
      <text>
        <t xml:space="preserve">Pago Luz</t>
      </text>
    </comment>
    <comment authorId="0" ref="J14">
      <text>
        <t xml:space="preserve">Spotify Alex</t>
      </text>
    </comment>
    <comment authorId="0" ref="K14">
      <text>
        <t xml:space="preserve">Arriendo </t>
      </text>
    </comment>
    <comment authorId="0" ref="J10">
      <text>
        <t xml:space="preserve">Corte de pelo</t>
      </text>
    </comment>
    <comment authorId="0" ref="K10">
      <text>
        <t xml:space="preserve">Compra Pan</t>
      </text>
    </comment>
    <comment authorId="0" ref="J6">
      <text>
        <t xml:space="preserve">Retiro Racional</t>
      </text>
    </comment>
    <comment authorId="0" ref="K6">
      <text>
        <t xml:space="preserve">Compra Unimarc</t>
      </text>
    </comment>
    <comment authorId="0" ref="M6">
      <text>
        <t xml:space="preserve">Abono Papá Fin de Mes</t>
      </text>
    </comment>
    <comment authorId="0" ref="J31">
      <text>
        <t xml:space="preserve">Audífonos Javier</t>
      </text>
    </comment>
    <comment authorId="0" ref="J27">
      <text>
        <t xml:space="preserve">Exploding Kittens + Uno</t>
      </text>
    </comment>
    <comment authorId="0" ref="J23">
      <text>
        <t xml:space="preserve">Gym Dic - Enero Camilo</t>
      </text>
    </comment>
    <comment authorId="0" ref="J19">
      <text>
        <t xml:space="preserve">Giro Pasajes</t>
      </text>
    </comment>
    <comment authorId="0" ref="J15">
      <text>
        <t xml:space="preserve">Pago Agua</t>
      </text>
    </comment>
    <comment authorId="0" ref="J11">
      <text>
        <t xml:space="preserve">Ingreso Fraccional</t>
      </text>
    </comment>
    <comment authorId="0" ref="K11">
      <text>
        <t xml:space="preserve">Compra Jumbo</t>
      </text>
    </comment>
    <comment authorId="0" ref="J7">
      <text>
        <t xml:space="preserve">Giro Pasajes</t>
      </text>
    </comment>
    <comment authorId="0" ref="K7">
      <text>
        <t xml:space="preserve">Compra pan</t>
      </text>
    </comment>
    <comment authorId="0" ref="M7">
      <text>
        <t xml:space="preserve">Arriendo</t>
      </text>
    </comment>
    <comment authorId="0" ref="J32">
      <text>
        <t xml:space="preserve">Creatina Camilo Cuota 01/03</t>
      </text>
    </comment>
    <comment authorId="0" ref="J28">
      <text>
        <t xml:space="preserve">Proteína en Polvo</t>
      </text>
    </comment>
    <comment authorId="0" ref="J24">
      <text>
        <t xml:space="preserve">Gym Dic - Enero Javier</t>
      </text>
    </comment>
    <comment authorId="0" ref="J20">
      <text>
        <t xml:space="preserve">Abono Camilo Tarjeta de Crédito</t>
      </text>
    </comment>
    <comment authorId="0" ref="J16">
      <text>
        <t xml:space="preserve">Giro pasajes</t>
      </text>
    </comment>
    <comment authorId="0" ref="J12">
      <text>
        <t xml:space="preserve">Pago Plan WOM</t>
      </text>
    </comment>
    <comment authorId="0" ref="K12">
      <text>
        <t xml:space="preserve">Abono fin de mes Camilo</t>
      </text>
    </comment>
    <comment authorId="0" ref="J8">
      <text>
        <t xml:space="preserve">Compra H&amp;M</t>
      </text>
    </comment>
    <comment authorId="0" ref="G4">
      <text>
        <t xml:space="preserve">Pago CAE Cuota 30</t>
      </text>
    </comment>
    <comment authorId="0" ref="K8">
      <text>
        <t xml:space="preserve">Compra Mercancía </t>
      </text>
    </comment>
    <comment authorId="0" ref="J4">
      <text>
        <t xml:space="preserve">Giro Pasajes</t>
      </text>
    </comment>
    <comment authorId="0" ref="K4">
      <text>
        <t xml:space="preserve">Pan</t>
      </text>
    </comment>
    <comment authorId="0" ref="L4">
      <text>
        <t xml:space="preserve">Pago crédito papá cuota 9/10</t>
      </text>
    </comment>
    <comment authorId="0" ref="M4">
      <text>
        <t xml:space="preserve">Quincena Papá </t>
      </text>
    </comment>
    <comment authorId="0" ref="J33">
      <text>
        <t xml:space="preserve">Mantención Tarjeta de Crédito </t>
      </text>
    </comment>
    <comment authorId="0" ref="J29">
      <text>
        <t xml:space="preserve">Gas</t>
      </text>
    </comment>
    <comment authorId="0" ref="J25">
      <text>
        <t xml:space="preserve">Gym Enero</t>
      </text>
    </comment>
    <comment authorId="0" ref="J21">
      <text>
        <t xml:space="preserve">Abono Javier Tarjeta de Crédito </t>
      </text>
    </comment>
    <comment authorId="0" ref="J17">
      <text>
        <t xml:space="preserve">Salida Bombo Burger</t>
      </text>
    </comment>
    <comment authorId="0" ref="J13">
      <text>
        <t xml:space="preserve">Pago Internet</t>
      </text>
    </comment>
    <comment authorId="0" ref="K13">
      <text>
        <t xml:space="preserve">Compra mercadería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M13">
      <text>
        <t xml:space="preserve">Arriendo </t>
      </text>
    </comment>
    <comment authorId="0" ref="J9">
      <text>
        <t xml:space="preserve">Pago Internet</t>
      </text>
    </comment>
    <comment authorId="0" ref="K9">
      <text>
        <t xml:space="preserve">Compra pan</t>
      </text>
    </comment>
    <comment authorId="0" ref="M9">
      <text>
        <t xml:space="preserve">Compra Pan</t>
      </text>
    </comment>
    <comment authorId="0" ref="J5">
      <text>
        <t xml:space="preserve">Shampoo + Desodorante</t>
      </text>
    </comment>
    <comment authorId="0" ref="K5">
      <text>
        <t xml:space="preserve">Compra pan + Queso y Jamón </t>
      </text>
    </comment>
    <comment authorId="0" ref="M5">
      <text>
        <t xml:space="preserve">Compra Pan</t>
      </text>
    </comment>
    <comment authorId="0" ref="J26">
      <text>
        <t xml:space="preserve">Creatina Camilo Cuota 02/03</t>
      </text>
    </comment>
    <comment authorId="0" ref="J22">
      <text>
        <t xml:space="preserve">Pago Gym</t>
      </text>
    </comment>
    <comment authorId="0" ref="J18">
      <text>
        <t xml:space="preserve">Abono Javier Pago de tarjeta de crédito</t>
      </text>
    </comment>
    <comment authorId="0" ref="J14">
      <text>
        <t xml:space="preserve">Compra almuerzos</t>
      </text>
    </comment>
    <comment authorId="0" ref="K14">
      <text>
        <t xml:space="preserve">Arriendo</t>
      </text>
    </comment>
    <comment authorId="0" ref="J10">
      <text>
        <t xml:space="preserve">Ingreso Fraccional</t>
      </text>
    </comment>
    <comment authorId="0" ref="K10">
      <text>
        <t xml:space="preserve">Compra pan</t>
      </text>
    </comment>
    <comment authorId="0" ref="M10">
      <text>
        <t xml:space="preserve">Abono arriendo</t>
      </text>
    </comment>
    <comment authorId="0" ref="J6">
      <text>
        <t xml:space="preserve">Corte de pelo</t>
      </text>
    </comment>
    <comment authorId="0" ref="K6">
      <text>
        <t xml:space="preserve">Compra pan + helado</t>
      </text>
    </comment>
    <comment authorId="0" ref="M6">
      <text>
        <t xml:space="preserve">Compra pan</t>
      </text>
    </comment>
    <comment authorId="0" ref="J27">
      <text>
        <t xml:space="preserve">Bolso Camilo Cuota 01/03</t>
      </text>
    </comment>
    <comment authorId="0" ref="J23">
      <text>
        <t xml:space="preserve">Gas Cuota 03/03</t>
      </text>
    </comment>
    <comment authorId="0" ref="J19">
      <text>
        <t xml:space="preserve">Pago Luz</t>
      </text>
    </comment>
    <comment authorId="0" ref="J15">
      <text>
        <t xml:space="preserve">Giro pasajes</t>
      </text>
    </comment>
    <comment authorId="0" ref="K15">
      <text>
        <t xml:space="preserve">Compra Unimarc</t>
      </text>
    </comment>
    <comment authorId="0" ref="J11">
      <text>
        <t xml:space="preserve">Helado Trinidad</t>
      </text>
    </comment>
    <comment authorId="0" ref="K11">
      <text>
        <t xml:space="preserve">Abono fin de mes</t>
      </text>
    </comment>
    <comment authorId="0" ref="M11">
      <text>
        <t xml:space="preserve">Compra Pan</t>
      </text>
    </comment>
    <comment authorId="0" ref="J7">
      <text>
        <t xml:space="preserve">Retiro Racional</t>
      </text>
    </comment>
    <comment authorId="0" ref="K7">
      <text>
        <t xml:space="preserve">Compra pan Unimarc</t>
      </text>
    </comment>
    <comment authorId="0" ref="M7">
      <text>
        <t xml:space="preserve">Compra Pan</t>
      </text>
    </comment>
    <comment authorId="0" ref="J28">
      <text>
        <t xml:space="preserve">Mantención Tarjeta de Crédito </t>
      </text>
    </comment>
    <comment authorId="0" ref="J24">
      <text>
        <t xml:space="preserve">Halcón Milenario Cuota 03/03</t>
      </text>
    </comment>
    <comment authorId="0" ref="J20">
      <text>
        <t xml:space="preserve">Giro Pasajes</t>
      </text>
    </comment>
    <comment authorId="0" ref="J16">
      <text>
        <t xml:space="preserve">Barrita de proteína</t>
      </text>
    </comment>
    <comment authorId="0" ref="J12">
      <text>
        <t xml:space="preserve">Giro Pasajes</t>
      </text>
    </comment>
    <comment authorId="0" ref="K12">
      <text>
        <t xml:space="preserve">Traspaso de fondos desde "Fondo Papá"</t>
      </text>
    </comment>
    <comment authorId="0" ref="M12">
      <text>
        <t xml:space="preserve">Traspaso de fondos a "Fondo Camilo"</t>
      </text>
    </comment>
    <comment authorId="0" ref="J8">
      <text>
        <t xml:space="preserve">Pago plan Wom</t>
      </text>
    </comment>
    <comment authorId="0" ref="K8">
      <text>
        <t xml:space="preserve">Compra mercadería</t>
      </text>
    </comment>
    <comment authorId="0" ref="G4">
      <text>
        <t xml:space="preserve">Pago CAE Cuota 31</t>
      </text>
    </comment>
    <comment authorId="0" ref="M8">
      <text>
        <t xml:space="preserve">Compra pan, queso y jamón </t>
      </text>
    </comment>
    <comment authorId="0" ref="J4">
      <text>
        <t xml:space="preserve">Giro Pasajes</t>
      </text>
    </comment>
    <comment authorId="0" ref="K4">
      <text>
        <t xml:space="preserve">Compra Pan</t>
      </text>
    </comment>
    <comment authorId="0" ref="L4">
      <text>
        <t xml:space="preserve">Abono última cuota</t>
      </text>
    </comment>
    <comment authorId="0" ref="M4">
      <text>
        <t xml:space="preserve">Abono Quincena</t>
      </text>
    </comment>
    <comment authorId="0" ref="N4">
      <text>
        <t xml:space="preserve">Deuda tarjeta de crédito BCI Pyme</t>
      </text>
    </comment>
    <comment authorId="0" ref="J25">
      <text>
        <t xml:space="preserve">Audífonos Javier Cuota 02/03</t>
      </text>
    </comment>
    <comment authorId="0" ref="J21">
      <text>
        <t xml:space="preserve">Pago Tarjeta de Crédito Internacional</t>
      </text>
    </comment>
    <comment authorId="0" ref="J17">
      <text>
        <t xml:space="preserve">Abono Camilo Pago de tarjeta de crédito </t>
      </text>
    </comment>
    <comment authorId="0" ref="J13">
      <text>
        <t xml:space="preserve">Recuerdo parque japonés</t>
      </text>
    </comment>
    <comment authorId="0" ref="K13">
      <text>
        <t xml:space="preserve">Compra Mercadería 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J9">
      <text>
        <t xml:space="preserve">Pago Agua</t>
      </text>
    </comment>
    <comment authorId="0" ref="K9">
      <text>
        <t xml:space="preserve">Compra pan</t>
      </text>
    </comment>
    <comment authorId="0" ref="J5">
      <text>
        <t xml:space="preserve">Compra máquinas de afeitar</t>
      </text>
    </comment>
    <comment authorId="0" ref="K5">
      <text>
        <t xml:space="preserve">Compra pan</t>
      </text>
    </comment>
    <comment authorId="0" ref="M5">
      <text>
        <t xml:space="preserve">Abono quincena</t>
      </text>
    </comment>
    <comment authorId="0" ref="J34">
      <text>
        <t xml:space="preserve">Mantención Tarjeta de Crédito</t>
      </text>
    </comment>
    <comment authorId="0" ref="O5">
      <text>
        <t xml:space="preserve">Abono Teléfonos</t>
      </text>
    </comment>
    <comment authorId="0" ref="J30">
      <text>
        <t xml:space="preserve">Creatina Camilo Cuota 03/03</t>
      </text>
    </comment>
    <comment authorId="0" ref="J26">
      <text>
        <t xml:space="preserve">Gym Febrero - Marzo Javier</t>
      </text>
    </comment>
    <comment authorId="0" ref="J22">
      <text>
        <t xml:space="preserve">Pago luz</t>
      </text>
    </comment>
    <comment authorId="0" ref="J18">
      <text>
        <t xml:space="preserve">Giro pasajes</t>
      </text>
    </comment>
    <comment authorId="0" ref="K18">
      <text>
        <t xml:space="preserve">Compra de pollo + Bistec</t>
      </text>
    </comment>
    <comment authorId="0" ref="J14">
      <text>
        <t xml:space="preserve">Compra libro Las leyes de la naturaleza humana - Robert Greene</t>
      </text>
    </comment>
    <comment authorId="0" ref="K14">
      <text>
        <t xml:space="preserve">Compra pan</t>
      </text>
    </comment>
    <comment authorId="0" ref="J10">
      <text>
        <t xml:space="preserve">Corte de pelo</t>
      </text>
    </comment>
    <comment authorId="0" ref="K10">
      <text>
        <t xml:space="preserve">Compra mercadería - Diferencia Fondo papá</t>
      </text>
    </comment>
    <comment authorId="0" ref="J6">
      <text>
        <t xml:space="preserve">Cargo Lider?</t>
      </text>
    </comment>
    <comment authorId="0" ref="K6">
      <text>
        <t xml:space="preserve">Asado previa-cumpleaños</t>
      </text>
    </comment>
    <comment authorId="0" ref="M6">
      <text>
        <t xml:space="preserve">Compra mercadería</t>
      </text>
    </comment>
    <comment authorId="0" ref="J35">
      <text>
        <t xml:space="preserve">Retiro Arch</t>
      </text>
    </comment>
    <comment authorId="0" ref="O6">
      <text>
        <t xml:space="preserve">Abono teléfono Tía Checha</t>
      </text>
    </comment>
    <comment authorId="0" ref="J31">
      <text>
        <t xml:space="preserve">Bolso Camilo Cuota 02/03</t>
      </text>
    </comment>
    <comment authorId="0" ref="J27">
      <text>
        <t xml:space="preserve">Gym</t>
      </text>
    </comment>
    <comment authorId="0" ref="J23">
      <text>
        <t xml:space="preserve">Abono Camilo Pago de tarjeta de crédito</t>
      </text>
    </comment>
    <comment authorId="0" ref="J19">
      <text>
        <t xml:space="preserve">KFC</t>
      </text>
    </comment>
    <comment authorId="0" ref="K19">
      <text>
        <t xml:space="preserve">Uber</t>
      </text>
    </comment>
    <comment authorId="0" ref="J15">
      <text>
        <t xml:space="preserve">Giro Pasajes</t>
      </text>
    </comment>
    <comment authorId="0" ref="K15">
      <text>
        <t xml:space="preserve">Compra pan + cabritas</t>
      </text>
    </comment>
    <comment authorId="0" ref="J11">
      <text>
        <t xml:space="preserve">Abono Fraccional</t>
      </text>
    </comment>
    <comment authorId="0" ref="K11">
      <text>
        <t xml:space="preserve">Compra pan</t>
      </text>
    </comment>
    <comment authorId="0" ref="J7">
      <text>
        <t xml:space="preserve">Pago plan Wom</t>
      </text>
    </comment>
    <comment authorId="0" ref="K7">
      <text>
        <t xml:space="preserve">Compra agua</t>
      </text>
    </comment>
    <comment authorId="0" ref="M7">
      <text>
        <t xml:space="preserve">Abono arriendo</t>
      </text>
    </comment>
    <comment authorId="0" ref="O7">
      <text>
        <t xml:space="preserve">Retiro Arch</t>
      </text>
    </comment>
    <comment authorId="0" ref="J32">
      <text>
        <t xml:space="preserve">Mochila Camilo Cuota 01/03</t>
      </text>
    </comment>
    <comment authorId="0" ref="J28">
      <text>
        <t xml:space="preserve">Proteína en Polvo</t>
      </text>
    </comment>
    <comment authorId="0" ref="J24">
      <text>
        <t xml:space="preserve">Abono Javier Pago de tarjeta de crédito</t>
      </text>
    </comment>
    <comment authorId="0" ref="J20">
      <text>
        <t xml:space="preserve">Giro pasajes</t>
      </text>
    </comment>
    <comment authorId="0" ref="K20">
      <text>
        <t xml:space="preserve">Abono fin de mes</t>
      </text>
    </comment>
    <comment authorId="0" ref="J16">
      <text>
        <t xml:space="preserve">Pago Agua</t>
      </text>
    </comment>
    <comment authorId="0" ref="K16">
      <text>
        <t xml:space="preserve">Compra Pan</t>
      </text>
    </comment>
    <comment authorId="0" ref="J12">
      <text>
        <t xml:space="preserve">Giro pasajes</t>
      </text>
    </comment>
    <comment authorId="0" ref="K12">
      <text>
        <t xml:space="preserve">Compra Acuenta</t>
      </text>
    </comment>
    <comment authorId="0" ref="J8">
      <text>
        <t xml:space="preserve">Pago Internet </t>
      </text>
    </comment>
    <comment authorId="0" ref="G4">
      <text>
        <t xml:space="preserve">Pago CAE Cuota 32</t>
      </text>
    </comment>
    <comment authorId="0" ref="K8">
      <text>
        <t xml:space="preserve">Traspaso de fondos</t>
      </text>
    </comment>
    <comment authorId="0" ref="J4">
      <text>
        <t xml:space="preserve">Compra cepillo de dientes + Interprox</t>
      </text>
    </comment>
    <comment authorId="0" ref="K4">
      <text>
        <t xml:space="preserve">Compra Pan</t>
      </text>
    </comment>
    <comment authorId="0" ref="L4">
      <text>
        <t xml:space="preserve">Pago Última cuota </t>
      </text>
    </comment>
    <comment authorId="0" ref="M4">
      <text>
        <t xml:space="preserve">Traspaso de fondos</t>
      </text>
    </comment>
    <comment authorId="0" ref="J33">
      <text>
        <t xml:space="preserve">Impuesto ley 3475</t>
      </text>
    </comment>
    <comment authorId="0" ref="O4">
      <text>
        <t xml:space="preserve">Pago Hipoteka</t>
      </text>
    </comment>
    <comment authorId="0" ref="J29">
      <text>
        <t xml:space="preserve">Audífonos Javier Cuota 03/03</t>
      </text>
    </comment>
    <comment authorId="0" ref="J25">
      <text>
        <t xml:space="preserve">Gym Febrero - Marzo Camilo</t>
      </text>
    </comment>
    <comment authorId="0" ref="J21">
      <text>
        <t xml:space="preserve">Pago tarjeta internacional</t>
      </text>
    </comment>
    <comment authorId="0" ref="K21">
      <text>
        <t xml:space="preserve">Compra mercadería </t>
      </text>
    </comment>
    <comment authorId="0" ref="J17">
      <text>
        <t xml:space="preserve">Abono Fraccional</t>
      </text>
    </comment>
    <comment authorId="0" ref="K17">
      <text>
        <t xml:space="preserve">Compra pan + Queso y Jamón </t>
      </text>
    </comment>
    <comment authorId="0" ref="J13">
      <text>
        <t xml:space="preserve">Pasajes Kupos.cl</t>
      </text>
    </comment>
    <comment authorId="0" ref="K13">
      <text>
        <t xml:space="preserve">Compra pan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K11">
      <text>
        <t xml:space="preserve">Transferencia Fan - Pan</t>
      </text>
    </comment>
    <comment authorId="0" ref="J9">
      <text>
        <t xml:space="preserve">Polvo texturizador</t>
      </text>
    </comment>
    <comment authorId="0" ref="K9">
      <text>
        <t xml:space="preserve">Compra queso + jamón</t>
      </text>
    </comment>
    <comment authorId="0" ref="J7">
      <text>
        <t xml:space="preserve">Pago Agua</t>
      </text>
    </comment>
    <comment authorId="0" ref="K7">
      <text>
        <t xml:space="preserve">Comida China</t>
      </text>
    </comment>
    <comment authorId="0" ref="J5">
      <text>
        <t xml:space="preserve">Compra barrita de proteína</t>
      </text>
    </comment>
    <comment authorId="0" ref="L7">
      <text>
        <t xml:space="preserve">Abono fin de mes</t>
      </text>
    </comment>
    <comment authorId="0" ref="K5">
      <text>
        <t xml:space="preserve">Compra pan</t>
      </text>
    </comment>
    <comment authorId="0" ref="M7">
      <text>
        <t xml:space="preserve">Impresión de documentos</t>
      </text>
    </comment>
    <comment authorId="0" ref="L5">
      <text>
        <t xml:space="preserve">Abono Quincena</t>
      </text>
    </comment>
    <comment authorId="0" ref="M5">
      <text>
        <t xml:space="preserve">Pago patente comercial</t>
      </text>
    </comment>
    <comment authorId="0" ref="K22">
      <text>
        <t xml:space="preserve">Diferencia Arriendo</t>
      </text>
    </comment>
    <comment authorId="0" ref="K20">
      <text>
        <t xml:space="preserve">Abono fin de mes</t>
      </text>
    </comment>
    <comment authorId="0" ref="K18">
      <text>
        <t xml:space="preserve">Compra 2 Carne Molida + Bandeja de Pechuga de pollo Deshuesada</t>
      </text>
    </comment>
    <comment authorId="0" ref="K16">
      <text>
        <t xml:space="preserve">Compra Queso + Jamón</t>
      </text>
    </comment>
    <comment authorId="0" ref="J14">
      <text>
        <t xml:space="preserve">Compra pilas AA</t>
      </text>
    </comment>
    <comment authorId="0" ref="K14">
      <text>
        <t xml:space="preserve">Compra Pan</t>
      </text>
    </comment>
    <comment authorId="0" ref="J12">
      <text>
        <t xml:space="preserve">Giro Pasajes</t>
      </text>
    </comment>
    <comment authorId="0" ref="K12">
      <text>
        <t xml:space="preserve">Diferencia - Compra mercadería</t>
      </text>
    </comment>
    <comment authorId="0" ref="J10">
      <text>
        <t xml:space="preserve">Giro Pasajes</t>
      </text>
    </comment>
    <comment authorId="0" ref="K10">
      <text>
        <t xml:space="preserve">Compra pan</t>
      </text>
    </comment>
    <comment authorId="0" ref="J8">
      <text>
        <t xml:space="preserve">Corte de pelo</t>
      </text>
    </comment>
    <comment authorId="0" ref="G4">
      <text>
        <t xml:space="preserve">Pago CAE Cuota 33</t>
      </text>
    </comment>
    <comment authorId="0" ref="K8">
      <text>
        <t xml:space="preserve">Compra pan</t>
      </text>
    </comment>
    <comment authorId="0" ref="J6">
      <text>
        <t xml:space="preserve">Pago Internet</t>
      </text>
    </comment>
    <comment authorId="0" ref="L8">
      <text>
        <t xml:space="preserve">Arriendo</t>
      </text>
    </comment>
    <comment authorId="0" ref="K6">
      <text>
        <t xml:space="preserve">Compra pasta de dientes</t>
      </text>
    </comment>
    <comment authorId="0" ref="L6">
      <text>
        <t xml:space="preserve">Compra mercadería</t>
      </text>
    </comment>
    <comment authorId="0" ref="J4">
      <text>
        <t xml:space="preserve">Giro pasajes</t>
      </text>
    </comment>
    <comment authorId="0" ref="K4">
      <text>
        <t xml:space="preserve">Arriendo</t>
      </text>
    </comment>
    <comment authorId="0" ref="M6">
      <text>
        <t xml:space="preserve">Pago Operación de Renta SII</t>
      </text>
    </comment>
    <comment authorId="0" ref="L4">
      <text>
        <t xml:space="preserve">Arriendo</t>
      </text>
    </comment>
    <comment authorId="0" ref="M4">
      <text>
        <t xml:space="preserve">Contador Operación de Renta 2026</t>
      </text>
    </comment>
    <comment authorId="0" ref="K21">
      <text>
        <t xml:space="preserve">Mercadería</t>
      </text>
    </comment>
    <comment authorId="0" ref="K19">
      <text>
        <t xml:space="preserve">Pan + Queso + Jamón</t>
      </text>
    </comment>
    <comment authorId="0" ref="K17">
      <text>
        <t xml:space="preserve">Retiro para comprar Pan</t>
      </text>
    </comment>
    <comment authorId="0" ref="K15">
      <text>
        <t xml:space="preserve">Compra pan</t>
      </text>
    </comment>
    <comment authorId="0" ref="J13">
      <text>
        <t xml:space="preserve">Compra luces Led</t>
      </text>
    </comment>
    <comment authorId="0" ref="K13">
      <text>
        <t xml:space="preserve">Compra Pan</t>
      </text>
    </comment>
    <comment authorId="0" ref="J11">
      <text>
        <t xml:space="preserve">Pago plan Wom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J9">
      <text>
        <t xml:space="preserve">Gym Javier</t>
      </text>
    </comment>
    <comment authorId="0" ref="L11">
      <text>
        <t xml:space="preserve">Pan</t>
      </text>
    </comment>
    <comment authorId="0" ref="J7">
      <text>
        <t xml:space="preserve">Abono Javier </t>
      </text>
    </comment>
    <comment authorId="0" ref="L9">
      <text>
        <t xml:space="preserve">Compra pan</t>
      </text>
    </comment>
    <comment authorId="0" ref="J5">
      <text>
        <t xml:space="preserve">Pago Plan Wom</t>
      </text>
    </comment>
    <comment authorId="0" ref="L7">
      <text>
        <t xml:space="preserve">Viaje Uber </t>
      </text>
    </comment>
    <comment authorId="0" ref="K5">
      <text>
        <t xml:space="preserve">Pago del agua </t>
      </text>
    </comment>
    <comment authorId="0" ref="L5">
      <text>
        <t xml:space="preserve">Compra Carne para asado - Cumpleaños mamá</t>
      </text>
    </comment>
    <comment authorId="0" ref="M5">
      <text>
        <t xml:space="preserve">Compra mercadería</t>
      </text>
    </comment>
    <comment authorId="0" ref="J30">
      <text>
        <t xml:space="preserve">Abono Camilo - Tarjeta de Crédito </t>
      </text>
    </comment>
    <comment authorId="0" ref="J28">
      <text>
        <t xml:space="preserve">Control médico - Mamá </t>
      </text>
    </comment>
    <comment authorId="0" ref="J26">
      <text>
        <t xml:space="preserve">Salida KFC - gym bros</t>
      </text>
    </comment>
    <comment authorId="0" ref="J24">
      <text>
        <t xml:space="preserve">Giro Pasajes</t>
      </text>
    </comment>
    <comment authorId="0" ref="J22">
      <text>
        <t xml:space="preserve">Polera de compresión- Gym</t>
      </text>
    </comment>
    <comment authorId="0" ref="J20">
      <text>
        <t xml:space="preserve">Giro pasajes</t>
      </text>
    </comment>
    <comment authorId="0" ref="J18">
      <text>
        <t xml:space="preserve">Impuesto Ley N° 3475</t>
      </text>
    </comment>
    <comment authorId="0" ref="J16">
      <text>
        <t xml:space="preserve">Mochila Camilo Cuota 02/03</t>
      </text>
    </comment>
    <comment authorId="0" ref="J14">
      <text>
        <t xml:space="preserve">Bolso Camilo Cuota 03/03</t>
      </text>
    </comment>
    <comment authorId="0" ref="J12">
      <text>
        <t xml:space="preserve">Cebros para ratón</t>
      </text>
    </comment>
    <comment authorId="0" ref="L14">
      <text>
        <t xml:space="preserve">Compra Pan + Zanahoria + Cebolla</t>
      </text>
    </comment>
    <comment authorId="0" ref="J10">
      <text>
        <t xml:space="preserve">Gym Camilo</t>
      </text>
    </comment>
    <comment authorId="0" ref="L12">
      <text>
        <t xml:space="preserve">1kg de Arroz + 500g carne molida + pan</t>
      </text>
    </comment>
    <comment authorId="0" ref="J8">
      <text>
        <t xml:space="preserve">Abono Camilo</t>
      </text>
    </comment>
    <comment authorId="0" ref="L10">
      <text>
        <t xml:space="preserve">Compra pan</t>
      </text>
    </comment>
    <comment authorId="0" ref="G4">
      <text>
        <t xml:space="preserve">Pago CAE Cuota 34</t>
      </text>
    </comment>
    <comment authorId="0" ref="J6">
      <text>
        <t xml:space="preserve">Pago de Luz</t>
      </text>
    </comment>
    <comment authorId="0" ref="L8">
      <text>
        <t xml:space="preserve">Compra mercadería - Diferencia</t>
      </text>
    </comment>
    <comment authorId="0" ref="J4">
      <text>
        <t xml:space="preserve">Pago Factura - Tarjeta de crédito Internacional</t>
      </text>
    </comment>
    <comment authorId="0" ref="L6">
      <text>
        <t xml:space="preserve">Almuerzo día de la madre</t>
      </text>
    </comment>
    <comment authorId="0" ref="K4">
      <text>
        <t xml:space="preserve">Pago de Internet</t>
      </text>
    </comment>
    <comment authorId="0" ref="M6">
      <text>
        <t xml:space="preserve">Arreglo calefont</t>
      </text>
    </comment>
    <comment authorId="0" ref="L4">
      <text>
        <t xml:space="preserve">Compra Pan</t>
      </text>
    </comment>
    <comment authorId="0" ref="M4">
      <text>
        <t xml:space="preserve">Abono Quincena</t>
      </text>
    </comment>
    <comment authorId="0" ref="O4">
      <text>
        <t xml:space="preserve">Devolución de impuestos</t>
      </text>
    </comment>
    <comment authorId="0" ref="J29">
      <text>
        <t xml:space="preserve">Pago tarjeta de crédito internacional</t>
      </text>
    </comment>
    <comment authorId="0" ref="J27">
      <text>
        <t xml:space="preserve">Corte de pelo</t>
      </text>
    </comment>
    <comment authorId="0" ref="J25">
      <text>
        <t xml:space="preserve">Giro pasajes </t>
      </text>
    </comment>
    <comment authorId="0" ref="J23">
      <text>
        <t xml:space="preserve">Ingreso Fraccional</t>
      </text>
    </comment>
    <comment authorId="0" ref="J21">
      <text>
        <t xml:space="preserve">Corte de pelo</t>
      </text>
    </comment>
    <comment authorId="0" ref="J19">
      <text>
        <t xml:space="preserve">Mantención Tarjeta de Crédito</t>
      </text>
    </comment>
    <comment authorId="0" ref="J17">
      <text>
        <t xml:space="preserve">Perfume Camilo Cuota 01/03</t>
      </text>
    </comment>
    <comment authorId="0" ref="J15">
      <text>
        <t xml:space="preserve">Terraza</t>
      </text>
    </comment>
    <comment authorId="0" ref="J13">
      <text>
        <t xml:space="preserve">Proteína en Polvo</t>
      </text>
    </comment>
    <comment authorId="0" ref="J11">
      <text>
        <t xml:space="preserve">Gym Abril</t>
      </text>
    </comment>
    <comment authorId="0" ref="L13">
      <text>
        <t xml:space="preserve">Abono fin de mes</t>
      </text>
    </comment>
  </commentList>
</comments>
</file>

<file path=xl/comments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J9">
      <text>
        <t xml:space="preserve">Compra 20kg avena</t>
      </text>
    </comment>
    <comment authorId="0" ref="O13">
      <text>
        <t xml:space="preserve">Préstamo Mamá </t>
      </text>
    </comment>
    <comment authorId="0" ref="L9">
      <text>
        <t xml:space="preserve">Compra pan</t>
      </text>
    </comment>
    <comment authorId="0" ref="J5">
      <text>
        <t xml:space="preserve">Giro pasajes</t>
      </text>
    </comment>
    <comment authorId="0" ref="K5">
      <text>
        <t xml:space="preserve">Devolución Pago Agua</t>
      </text>
    </comment>
    <comment authorId="0" ref="O9">
      <text>
        <t xml:space="preserve">Cuota Camilo y Mamá </t>
      </text>
    </comment>
    <comment authorId="0" ref="L5">
      <text>
        <t xml:space="preserve">Diferencia arriendo</t>
      </text>
    </comment>
    <comment authorId="0" ref="M5">
      <text>
        <t xml:space="preserve">Abono Quincena</t>
      </text>
    </comment>
    <comment authorId="0" ref="O5">
      <text>
        <t xml:space="preserve">Transferencia tía Helen - Alojamiento Airbnb</t>
      </text>
    </comment>
    <comment authorId="0" ref="J26">
      <text>
        <t xml:space="preserve">Pasajes</t>
      </text>
    </comment>
    <comment authorId="0" ref="J22">
      <text>
        <t xml:space="preserve">Compra de 2 Poleras en H&amp;M</t>
      </text>
    </comment>
    <comment authorId="0" ref="J18">
      <text>
        <t xml:space="preserve">Cafetería redsalud </t>
      </text>
    </comment>
    <comment authorId="0" ref="J14">
      <text>
        <t xml:space="preserve">Mochila Camilo Cuota 03/03</t>
      </text>
    </comment>
    <comment authorId="0" ref="L14">
      <text>
        <t xml:space="preserve">Compra pan</t>
      </text>
    </comment>
    <comment authorId="0" ref="J10">
      <text>
        <t xml:space="preserve">Regalo cumpleaños mamá</t>
      </text>
    </comment>
    <comment authorId="0" ref="L10">
      <text>
        <t xml:space="preserve">Compra pan + queso + jamón</t>
      </text>
    </comment>
    <comment authorId="0" ref="J6">
      <text>
        <t xml:space="preserve">Gym camilo</t>
      </text>
    </comment>
    <comment authorId="0" ref="K6">
      <text>
        <t xml:space="preserve">Pago Luz</t>
      </text>
    </comment>
    <comment authorId="0" ref="O10">
      <text>
        <t xml:space="preserve">Recarga bip</t>
      </text>
    </comment>
    <comment authorId="0" ref="L6">
      <text>
        <t xml:space="preserve">Compra mercadería </t>
      </text>
    </comment>
    <comment authorId="0" ref="M6">
      <text>
        <t xml:space="preserve">Compra mercadería</t>
      </text>
    </comment>
    <comment authorId="0" ref="O6">
      <text>
        <t xml:space="preserve">4 Pasajes de Ida a Santiago </t>
      </text>
    </comment>
    <comment authorId="0" ref="J27">
      <text>
        <t xml:space="preserve">Pago tarjeta de crédito internacional </t>
      </text>
    </comment>
    <comment authorId="0" ref="J23">
      <text>
        <t xml:space="preserve">Giro Pasajes</t>
      </text>
    </comment>
    <comment authorId="0" ref="J19">
      <text>
        <t xml:space="preserve">Almuerzo KFC - amigos del gym</t>
      </text>
    </comment>
    <comment authorId="0" ref="J15">
      <text>
        <t xml:space="preserve">Gas cuota 01/03</t>
      </text>
    </comment>
    <comment authorId="0" ref="J11">
      <text>
        <t xml:space="preserve">Proteína en polvo</t>
      </text>
    </comment>
    <comment authorId="0" ref="L11">
      <text>
        <t xml:space="preserve">Compra mercadería (diferencia)</t>
      </text>
    </comment>
    <comment authorId="0" ref="J7">
      <text>
        <t xml:space="preserve">Gym Javier</t>
      </text>
    </comment>
    <comment authorId="0" ref="K7">
      <text>
        <t xml:space="preserve">Pago Agua</t>
      </text>
    </comment>
    <comment authorId="0" ref="O11">
      <text>
        <t xml:space="preserve">Viaje Uber </t>
      </text>
    </comment>
    <comment authorId="0" ref="L7">
      <text>
        <t xml:space="preserve">Compra pan</t>
      </text>
    </comment>
    <comment authorId="0" ref="O7">
      <text>
        <t xml:space="preserve">4 Pasajes vuelta a Coquimbo</t>
      </text>
    </comment>
    <comment authorId="0" ref="J28">
      <text>
        <t xml:space="preserve">Compra implementos de cuidado personal</t>
      </text>
    </comment>
    <comment authorId="0" ref="J24">
      <text>
        <t xml:space="preserve">Pago plan WOM</t>
      </text>
    </comment>
    <comment authorId="0" ref="J20">
      <text>
        <t xml:space="preserve">Giro pasajes</t>
      </text>
    </comment>
    <comment authorId="0" ref="J16">
      <text>
        <t xml:space="preserve">Mantención Tarjeta de Crédito</t>
      </text>
    </comment>
    <comment authorId="0" ref="J12">
      <text>
        <t xml:space="preserve">Terraza cuota 02/03</t>
      </text>
    </comment>
    <comment authorId="0" ref="L12">
      <text>
        <t xml:space="preserve">Compra pan</t>
      </text>
    </comment>
    <comment authorId="0" ref="J8">
      <text>
        <t xml:space="preserve">Mensualidad gym</t>
      </text>
    </comment>
    <comment authorId="0" ref="G4">
      <text>
        <t xml:space="preserve">Pago CAE Cuota 35</t>
      </text>
    </comment>
    <comment authorId="0" ref="K8">
      <text>
        <t xml:space="preserve">Pago Internet </t>
      </text>
    </comment>
    <comment authorId="0" ref="O12">
      <text>
        <t xml:space="preserve">Viaje Uber </t>
      </text>
    </comment>
    <comment authorId="0" ref="L8">
      <text>
        <t xml:space="preserve">Compra pan</t>
      </text>
    </comment>
    <comment authorId="0" ref="J4">
      <text>
        <t xml:space="preserve">Abono Javier - Tarjeta de Crédito</t>
      </text>
    </comment>
    <comment authorId="0" ref="K4">
      <text>
        <t xml:space="preserve">Devolución Pago Internet</t>
      </text>
    </comment>
    <comment authorId="0" ref="O8">
      <text>
        <t xml:space="preserve">Cuota Javier</t>
      </text>
    </comment>
    <comment authorId="0" ref="L4">
      <text>
        <t xml:space="preserve">Compra pan</t>
      </text>
    </comment>
    <comment authorId="0" ref="M4">
      <text>
        <t xml:space="preserve">Arriendo</t>
      </text>
    </comment>
    <comment authorId="0" ref="O4">
      <text>
        <t xml:space="preserve">Alojamiento Airbnb 7 personas</t>
      </text>
    </comment>
    <comment authorId="0" ref="J29">
      <text>
        <t xml:space="preserve">Giro pasajes</t>
      </text>
    </comment>
    <comment authorId="0" ref="J25">
      <text>
        <t xml:space="preserve">Compra de libro Pensar Rápido, Pensar Despacio</t>
      </text>
    </comment>
    <comment authorId="0" ref="J21">
      <text>
        <t xml:space="preserve">Traspaso tarjeta Fan</t>
      </text>
    </comment>
    <comment authorId="0" ref="J17">
      <text>
        <t xml:space="preserve">Venta de Stocks - Nvidia</t>
      </text>
    </comment>
    <comment authorId="0" ref="J13">
      <text>
        <t xml:space="preserve">Perfume Camilo Cuota 02/03</t>
      </text>
    </comment>
    <comment authorId="0" ref="L13">
      <text>
        <t xml:space="preserve">Compra pan</t>
      </text>
    </comment>
  </commentList>
</comments>
</file>

<file path=xl/sharedStrings.xml><?xml version="1.0" encoding="utf-8"?>
<sst xmlns="http://schemas.openxmlformats.org/spreadsheetml/2006/main" count="96" uniqueCount="19">
  <si>
    <t>Fondo Inversión</t>
  </si>
  <si>
    <t>Fondo Rico</t>
  </si>
  <si>
    <t>Fondo Estudio/CAE</t>
  </si>
  <si>
    <t>Fondo Emergencia</t>
  </si>
  <si>
    <t>Fondo Dar</t>
  </si>
  <si>
    <t>Fondo Libre</t>
  </si>
  <si>
    <t>Fondo Camilo</t>
  </si>
  <si>
    <t>Crédito</t>
  </si>
  <si>
    <t>Fondo Papá</t>
  </si>
  <si>
    <t>Empresa</t>
  </si>
  <si>
    <t>Fondo Extra</t>
  </si>
  <si>
    <t>$0</t>
  </si>
  <si>
    <t>Sueldo Líquido</t>
  </si>
  <si>
    <t>Total</t>
  </si>
  <si>
    <t>Cargos del Mes</t>
  </si>
  <si>
    <t>Gastos del Fondo Libre</t>
  </si>
  <si>
    <t>Total c/u</t>
  </si>
  <si>
    <t>Fondo Moto</t>
  </si>
  <si>
    <t>Fondo Javier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</si>
</sst>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$]#,##0"/>
  </numFmts>
  <fonts count="3">
    <font>
      <sz val="10.0"/>
      <color rgb="FF000000"/>
      <name val="Arial"/>
      <scheme val="minor"/>
    </font>
    <font>
      <sz val="11.0"/>
      <color rgb="FF000000"/>
      <name val="Calibri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1" fillId="0" fontId="1" numFmtId="0" xfId="0" applyAlignment="1" applyBorder="1" applyFont="1">
      <alignment horizontal="center" readingOrder="0"/>
    </xf>
    <xf borderId="1" fillId="0" fontId="1" numFmtId="0" xfId="0" applyAlignment="1" applyBorder="1" applyFont="1">
      <alignment horizontal="center" readingOrder="0" shrinkToFit="0" wrapText="0"/>
    </xf>
    <xf borderId="0" fillId="0" fontId="1" numFmtId="0" xfId="0" applyAlignment="1" applyFont="1">
      <alignment shrinkToFit="0" vertical="bottom" wrapText="0"/>
    </xf>
    <xf borderId="2" fillId="0" fontId="1" numFmtId="164" xfId="0" applyAlignment="1" applyBorder="1" applyFont="1" applyNumberFormat="1">
      <alignment horizontal="center" readingOrder="0"/>
    </xf>
    <xf borderId="2" fillId="0" fontId="1" numFmtId="164" xfId="0" applyAlignment="1" applyBorder="1" applyFont="1" applyNumberFormat="1">
      <alignment horizontal="center" readingOrder="0" shrinkToFit="0" wrapText="0"/>
    </xf>
    <xf borderId="3" fillId="0" fontId="1" numFmtId="164" xfId="0" applyAlignment="1" applyBorder="1" applyFont="1" applyNumberFormat="1">
      <alignment horizontal="center" readingOrder="0" shrinkToFit="0" wrapText="0"/>
    </xf>
    <xf borderId="2" fillId="0" fontId="1" numFmtId="164" xfId="0" applyAlignment="1" applyBorder="1" applyFont="1" applyNumberFormat="1">
      <alignment horizontal="center"/>
    </xf>
    <xf borderId="2" fillId="0" fontId="1" numFmtId="164" xfId="0" applyAlignment="1" applyBorder="1" applyFont="1" applyNumberFormat="1">
      <alignment horizontal="center" shrinkToFit="0" wrapText="0"/>
    </xf>
    <xf borderId="1" fillId="0" fontId="1" numFmtId="164" xfId="0" applyAlignment="1" applyBorder="1" applyFont="1" applyNumberFormat="1">
      <alignment horizontal="center" readingOrder="0"/>
    </xf>
    <xf borderId="4" fillId="0" fontId="1" numFmtId="164" xfId="0" applyAlignment="1" applyBorder="1" applyFont="1" applyNumberFormat="1">
      <alignment horizontal="center" shrinkToFit="0" wrapText="0"/>
    </xf>
    <xf borderId="5" fillId="0" fontId="1" numFmtId="164" xfId="0" applyAlignment="1" applyBorder="1" applyFont="1" applyNumberFormat="1">
      <alignment horizontal="center" shrinkToFit="0" wrapText="0"/>
    </xf>
    <xf borderId="5" fillId="0" fontId="1" numFmtId="164" xfId="0" applyAlignment="1" applyBorder="1" applyFont="1" applyNumberFormat="1">
      <alignment horizontal="center" readingOrder="0" shrinkToFit="0" wrapText="0"/>
    </xf>
    <xf borderId="1" fillId="0" fontId="1" numFmtId="0" xfId="0" applyAlignment="1" applyBorder="1" applyFont="1">
      <alignment readingOrder="0" shrinkToFit="0" vertical="bottom" wrapText="0"/>
    </xf>
    <xf borderId="1" fillId="0" fontId="1" numFmtId="164" xfId="0" applyAlignment="1" applyBorder="1" applyFont="1" applyNumberFormat="1">
      <alignment horizontal="right" readingOrder="0" shrinkToFit="0" vertical="bottom" wrapText="0"/>
    </xf>
    <xf borderId="0" fillId="0" fontId="1" numFmtId="164" xfId="0" applyAlignment="1" applyFont="1" applyNumberFormat="1">
      <alignment horizontal="right" readingOrder="0" shrinkToFit="0" vertical="bottom" wrapText="0"/>
    </xf>
    <xf borderId="0" fillId="0" fontId="2" numFmtId="164" xfId="0" applyAlignment="1" applyFont="1" applyNumberFormat="1">
      <alignment horizontal="center"/>
    </xf>
    <xf borderId="0" fillId="0" fontId="2" numFmtId="164" xfId="0" applyAlignment="1" applyFont="1" applyNumberFormat="1">
      <alignment horizontal="center" readingOrder="0"/>
    </xf>
    <xf borderId="0" fillId="0" fontId="1" numFmtId="164" xfId="0" applyAlignment="1" applyFont="1" applyNumberFormat="1">
      <alignment horizontal="center" readingOrder="0"/>
    </xf>
  </cellXfs>
  <cellStyles count="1">
    <cellStyle xfId="0" name="Normal" builtinId="0"/>
  </cellStyles>
  <dxfs count="2">
    <dxf>
      <font>
        <color rgb="FFFF0000"/>
      </font>
      <fill>
        <patternFill patternType="none"/>
      </fill>
      <border/>
    </dxf>
    <dxf>
      <font>
        <color rgb="FF13D413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15</xdr:col>
      <xdr:colOff>942975</xdr:colOff>
      <xdr:row>2</xdr:row>
      <xdr:rowOff>200025</xdr:rowOff>
    </xdr:from>
    <xdr:ext cx="1562100" cy="552450"/>
    <xdr:grpSp>
      <xdr:nvGrpSpPr>
        <xdr:cNvPr id="2" name="Shape 2" title="Dibujo"/>
        <xdr:cNvGrpSpPr/>
      </xdr:nvGrpSpPr>
      <xdr:grpSpPr>
        <a:xfrm>
          <a:off x="3690225" y="1301025"/>
          <a:ext cx="1542600" cy="530100"/>
          <a:chOff x="3690225" y="1301025"/>
          <a:chExt cx="1542600" cy="530100"/>
        </a:xfrm>
      </xdr:grpSpPr>
      <xdr:sp>
        <xdr:nvSpPr>
          <xdr:cNvPr id="3" name="Shape 3"/>
          <xdr:cNvSpPr/>
        </xdr:nvSpPr>
        <xdr:spPr>
          <a:xfrm>
            <a:off x="3690225" y="1301025"/>
            <a:ext cx="1542600" cy="530100"/>
          </a:xfrm>
          <a:prstGeom prst="flowChartAlternateProcess">
            <a:avLst/>
          </a:prstGeom>
          <a:solidFill>
            <a:srgbClr val="674EA7"/>
          </a:solidFill>
          <a:ln>
            <a:noFill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4" name="Shape 4"/>
          <xdr:cNvSpPr txBox="1"/>
        </xdr:nvSpPr>
        <xdr:spPr>
          <a:xfrm>
            <a:off x="3969525" y="1381425"/>
            <a:ext cx="984000" cy="3693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91425" lIns="91425" spcFirstLastPara="1" rIns="91425" wrap="square" tIns="91425">
            <a:sp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b="1" lang="en-US" sz="1200">
                <a:solidFill>
                  <a:srgbClr val="FFFFFF"/>
                </a:solidFill>
              </a:rPr>
              <a:t>Cerrar Mes</a:t>
            </a:r>
            <a:endParaRPr b="1" sz="1200">
              <a:solidFill>
                <a:srgbClr val="FFFFFF"/>
              </a:solidFill>
            </a:endParaRPr>
          </a:p>
        </xdr:txBody>
      </xdr:sp>
    </xdr:grp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15</xdr:col>
      <xdr:colOff>942975</xdr:colOff>
      <xdr:row>2</xdr:row>
      <xdr:rowOff>200025</xdr:rowOff>
    </xdr:from>
    <xdr:ext cx="1562100" cy="552450"/>
    <xdr:grpSp>
      <xdr:nvGrpSpPr>
        <xdr:cNvPr id="2" name="Shape 2" title="Dibujo"/>
        <xdr:cNvGrpSpPr/>
      </xdr:nvGrpSpPr>
      <xdr:grpSpPr>
        <a:xfrm>
          <a:off x="3690225" y="1301025"/>
          <a:ext cx="1542600" cy="530100"/>
          <a:chOff x="3690225" y="1301025"/>
          <a:chExt cx="1542600" cy="530100"/>
        </a:xfrm>
      </xdr:grpSpPr>
      <xdr:sp>
        <xdr:nvSpPr>
          <xdr:cNvPr id="3" name="Shape 3"/>
          <xdr:cNvSpPr/>
        </xdr:nvSpPr>
        <xdr:spPr>
          <a:xfrm>
            <a:off x="3690225" y="1301025"/>
            <a:ext cx="1542600" cy="530100"/>
          </a:xfrm>
          <a:prstGeom prst="flowChartAlternateProcess">
            <a:avLst/>
          </a:prstGeom>
          <a:solidFill>
            <a:srgbClr val="674EA7"/>
          </a:solidFill>
          <a:ln>
            <a:noFill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4" name="Shape 4"/>
          <xdr:cNvSpPr txBox="1"/>
        </xdr:nvSpPr>
        <xdr:spPr>
          <a:xfrm>
            <a:off x="3969525" y="1381425"/>
            <a:ext cx="984000" cy="3693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91425" lIns="91425" spcFirstLastPara="1" rIns="91425" wrap="square" tIns="91425">
            <a:sp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b="1" lang="en-US" sz="1200">
                <a:solidFill>
                  <a:srgbClr val="FFFFFF"/>
                </a:solidFill>
              </a:rPr>
              <a:t>Cerrar Mes</a:t>
            </a:r>
            <a:endParaRPr b="1" sz="1200">
              <a:solidFill>
                <a:srgbClr val="FFFFFF"/>
              </a:solidFill>
            </a:endParaRPr>
          </a:p>
        </xdr:txBody>
      </xdr:sp>
    </xdr:grp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15</xdr:col>
      <xdr:colOff>942975</xdr:colOff>
      <xdr:row>2</xdr:row>
      <xdr:rowOff>200025</xdr:rowOff>
    </xdr:from>
    <xdr:ext cx="1562100" cy="552450"/>
    <xdr:grpSp>
      <xdr:nvGrpSpPr>
        <xdr:cNvPr id="2" name="Shape 2" title="Dibujo"/>
        <xdr:cNvGrpSpPr/>
      </xdr:nvGrpSpPr>
      <xdr:grpSpPr>
        <a:xfrm>
          <a:off x="3690225" y="1301025"/>
          <a:ext cx="1542600" cy="530100"/>
          <a:chOff x="3690225" y="1301025"/>
          <a:chExt cx="1542600" cy="530100"/>
        </a:xfrm>
      </xdr:grpSpPr>
      <xdr:sp>
        <xdr:nvSpPr>
          <xdr:cNvPr id="3" name="Shape 3"/>
          <xdr:cNvSpPr/>
        </xdr:nvSpPr>
        <xdr:spPr>
          <a:xfrm>
            <a:off x="3690225" y="1301025"/>
            <a:ext cx="1542600" cy="530100"/>
          </a:xfrm>
          <a:prstGeom prst="flowChartAlternateProcess">
            <a:avLst/>
          </a:prstGeom>
          <a:solidFill>
            <a:srgbClr val="674EA7"/>
          </a:solidFill>
          <a:ln>
            <a:noFill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4" name="Shape 4"/>
          <xdr:cNvSpPr txBox="1"/>
        </xdr:nvSpPr>
        <xdr:spPr>
          <a:xfrm>
            <a:off x="3969525" y="1381425"/>
            <a:ext cx="984000" cy="3693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91425" lIns="91425" spcFirstLastPara="1" rIns="91425" wrap="square" tIns="91425">
            <a:sp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b="1" lang="en-US" sz="1200">
                <a:solidFill>
                  <a:srgbClr val="FFFFFF"/>
                </a:solidFill>
              </a:rPr>
              <a:t>Cerrar Mes</a:t>
            </a:r>
            <a:endParaRPr b="1" sz="1200">
              <a:solidFill>
                <a:srgbClr val="FFFFFF"/>
              </a:solidFill>
            </a:endParaRPr>
          </a:p>
        </xdr:txBody>
      </xdr:sp>
    </xdr:grpSp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14</xdr:col>
      <xdr:colOff>942975</xdr:colOff>
      <xdr:row>2</xdr:row>
      <xdr:rowOff>200025</xdr:rowOff>
    </xdr:from>
    <xdr:ext cx="1562100" cy="552450"/>
    <xdr:grpSp>
      <xdr:nvGrpSpPr>
        <xdr:cNvPr id="2" name="Shape 2" title="Dibujo"/>
        <xdr:cNvGrpSpPr/>
      </xdr:nvGrpSpPr>
      <xdr:grpSpPr>
        <a:xfrm>
          <a:off x="3690225" y="1301025"/>
          <a:ext cx="1542600" cy="530100"/>
          <a:chOff x="3690225" y="1301025"/>
          <a:chExt cx="1542600" cy="530100"/>
        </a:xfrm>
      </xdr:grpSpPr>
      <xdr:sp>
        <xdr:nvSpPr>
          <xdr:cNvPr id="3" name="Shape 3"/>
          <xdr:cNvSpPr/>
        </xdr:nvSpPr>
        <xdr:spPr>
          <a:xfrm>
            <a:off x="3690225" y="1301025"/>
            <a:ext cx="1542600" cy="530100"/>
          </a:xfrm>
          <a:prstGeom prst="flowChartAlternateProcess">
            <a:avLst/>
          </a:prstGeom>
          <a:solidFill>
            <a:srgbClr val="674EA7"/>
          </a:solidFill>
          <a:ln>
            <a:noFill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4" name="Shape 4"/>
          <xdr:cNvSpPr txBox="1"/>
        </xdr:nvSpPr>
        <xdr:spPr>
          <a:xfrm>
            <a:off x="3969525" y="1381425"/>
            <a:ext cx="984000" cy="3693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91425" lIns="91425" spcFirstLastPara="1" rIns="91425" wrap="square" tIns="91425">
            <a:sp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b="1" lang="en-US" sz="1200">
                <a:solidFill>
                  <a:srgbClr val="FFFFFF"/>
                </a:solidFill>
              </a:rPr>
              <a:t>Cerrar Mes</a:t>
            </a:r>
            <a:endParaRPr b="1" sz="1200">
              <a:solidFill>
                <a:srgbClr val="FFFFFF"/>
              </a:solidFill>
            </a:endParaRPr>
          </a:p>
        </xdr:txBody>
      </xdr:sp>
    </xdr:grpSp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15</xdr:col>
      <xdr:colOff>942975</xdr:colOff>
      <xdr:row>2</xdr:row>
      <xdr:rowOff>200025</xdr:rowOff>
    </xdr:from>
    <xdr:ext cx="1562100" cy="552450"/>
    <xdr:grpSp>
      <xdr:nvGrpSpPr>
        <xdr:cNvPr id="2" name="Shape 2" title="Dibujo"/>
        <xdr:cNvGrpSpPr/>
      </xdr:nvGrpSpPr>
      <xdr:grpSpPr>
        <a:xfrm>
          <a:off x="3690225" y="1301025"/>
          <a:ext cx="1542600" cy="530100"/>
          <a:chOff x="3690225" y="1301025"/>
          <a:chExt cx="1542600" cy="530100"/>
        </a:xfrm>
      </xdr:grpSpPr>
      <xdr:sp>
        <xdr:nvSpPr>
          <xdr:cNvPr id="3" name="Shape 3"/>
          <xdr:cNvSpPr/>
        </xdr:nvSpPr>
        <xdr:spPr>
          <a:xfrm>
            <a:off x="3690225" y="1301025"/>
            <a:ext cx="1542600" cy="530100"/>
          </a:xfrm>
          <a:prstGeom prst="flowChartAlternateProcess">
            <a:avLst/>
          </a:prstGeom>
          <a:solidFill>
            <a:srgbClr val="674EA7"/>
          </a:solidFill>
          <a:ln>
            <a:noFill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4" name="Shape 4"/>
          <xdr:cNvSpPr txBox="1"/>
        </xdr:nvSpPr>
        <xdr:spPr>
          <a:xfrm>
            <a:off x="3969525" y="1381425"/>
            <a:ext cx="984000" cy="3693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91425" lIns="91425" spcFirstLastPara="1" rIns="91425" wrap="square" tIns="91425">
            <a:sp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b="1" lang="en-US" sz="1200">
                <a:solidFill>
                  <a:srgbClr val="FFFFFF"/>
                </a:solidFill>
              </a:rPr>
              <a:t>Cerrar Mes</a:t>
            </a:r>
            <a:endParaRPr b="1" sz="1200">
              <a:solidFill>
                <a:srgbClr val="FFFFFF"/>
              </a:solidFill>
            </a:endParaRPr>
          </a:p>
        </xdr:txBody>
      </xdr:sp>
    </xdr:grpSp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15</xdr:col>
      <xdr:colOff>942975</xdr:colOff>
      <xdr:row>2</xdr:row>
      <xdr:rowOff>200025</xdr:rowOff>
    </xdr:from>
    <xdr:ext cx="1562100" cy="552450"/>
    <xdr:grpSp>
      <xdr:nvGrpSpPr>
        <xdr:cNvPr id="2" name="Shape 2" title="Dibujo"/>
        <xdr:cNvGrpSpPr/>
      </xdr:nvGrpSpPr>
      <xdr:grpSpPr>
        <a:xfrm>
          <a:off x="3690225" y="1301025"/>
          <a:ext cx="1542600" cy="530100"/>
          <a:chOff x="3690225" y="1301025"/>
          <a:chExt cx="1542600" cy="530100"/>
        </a:xfrm>
      </xdr:grpSpPr>
      <xdr:sp>
        <xdr:nvSpPr>
          <xdr:cNvPr id="3" name="Shape 3"/>
          <xdr:cNvSpPr/>
        </xdr:nvSpPr>
        <xdr:spPr>
          <a:xfrm>
            <a:off x="3690225" y="1301025"/>
            <a:ext cx="1542600" cy="530100"/>
          </a:xfrm>
          <a:prstGeom prst="flowChartAlternateProcess">
            <a:avLst/>
          </a:prstGeom>
          <a:solidFill>
            <a:srgbClr val="674EA7"/>
          </a:solidFill>
          <a:ln>
            <a:noFill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4" name="Shape 4"/>
          <xdr:cNvSpPr txBox="1"/>
        </xdr:nvSpPr>
        <xdr:spPr>
          <a:xfrm>
            <a:off x="3969525" y="1381425"/>
            <a:ext cx="984000" cy="3693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91425" lIns="91425" spcFirstLastPara="1" rIns="91425" wrap="square" tIns="91425">
            <a:sp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b="1" lang="en-US" sz="1200">
                <a:solidFill>
                  <a:srgbClr val="FFFFFF"/>
                </a:solidFill>
              </a:rPr>
              <a:t>Cerrar Mes</a:t>
            </a:r>
            <a:endParaRPr b="1" sz="1200">
              <a:solidFill>
                <a:srgbClr val="FFFFFF"/>
              </a:solidFill>
            </a:endParaRPr>
          </a:p>
        </xdr:txBody>
      </xdr:sp>
    </xdr:grpSp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3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4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5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2.38"/>
    <col customWidth="1" min="3" max="3" width="17.88"/>
    <col customWidth="1" min="4" max="4" width="8.38"/>
    <col customWidth="1" min="7" max="7" width="15.25"/>
    <col customWidth="1" min="8" max="8" width="14.75"/>
  </cols>
  <sheetData>
    <row r="2">
      <c r="D2" s="1"/>
      <c r="E2" s="2" t="s">
        <v>0</v>
      </c>
      <c r="F2" s="2" t="s">
        <v>1</v>
      </c>
      <c r="G2" s="2" t="s">
        <v>2</v>
      </c>
      <c r="H2" s="2" t="s">
        <v>3</v>
      </c>
      <c r="I2" s="2" t="s">
        <v>4</v>
      </c>
      <c r="J2" s="2" t="s">
        <v>5</v>
      </c>
      <c r="K2" s="3" t="s">
        <v>6</v>
      </c>
      <c r="L2" s="3" t="s">
        <v>7</v>
      </c>
      <c r="M2" s="3" t="s">
        <v>8</v>
      </c>
      <c r="N2" s="3" t="s">
        <v>9</v>
      </c>
      <c r="O2" s="3" t="s">
        <v>10</v>
      </c>
      <c r="P2" s="4"/>
    </row>
    <row r="3">
      <c r="D3" s="1"/>
      <c r="E3" s="5">
        <v>0.0</v>
      </c>
      <c r="F3" s="5">
        <v>0.0</v>
      </c>
      <c r="G3" s="5">
        <v>1178016.0</v>
      </c>
      <c r="H3" s="5">
        <v>0.0</v>
      </c>
      <c r="I3" s="5" t="s">
        <v>11</v>
      </c>
      <c r="J3" s="5">
        <v>182362.0</v>
      </c>
      <c r="K3" s="6">
        <v>78220.0</v>
      </c>
      <c r="L3" s="7">
        <v>0.0</v>
      </c>
      <c r="M3" s="6">
        <v>0.0</v>
      </c>
      <c r="N3" s="6">
        <v>1055061.0</v>
      </c>
      <c r="O3" s="6">
        <v>1000000.0</v>
      </c>
      <c r="P3" s="4"/>
    </row>
    <row r="4">
      <c r="B4" s="2" t="s">
        <v>12</v>
      </c>
      <c r="C4" s="2" t="s">
        <v>13</v>
      </c>
      <c r="D4" s="1"/>
      <c r="E4" s="8"/>
      <c r="F4" s="8"/>
      <c r="G4" s="5">
        <v>-22685.0</v>
      </c>
      <c r="H4" s="8"/>
      <c r="I4" s="8"/>
      <c r="J4" s="6">
        <v>-10000.0</v>
      </c>
      <c r="K4" s="6">
        <v>-3000.0</v>
      </c>
      <c r="L4" s="6">
        <v>-122714.0</v>
      </c>
      <c r="M4" s="6">
        <v>150000.0</v>
      </c>
      <c r="N4" s="6"/>
      <c r="O4" s="9"/>
      <c r="P4" s="4"/>
    </row>
    <row r="5">
      <c r="B5" s="10">
        <v>0.0</v>
      </c>
      <c r="C5" s="10">
        <f>B5</f>
        <v>0</v>
      </c>
      <c r="D5" s="1"/>
      <c r="E5" s="8"/>
      <c r="F5" s="8"/>
      <c r="G5" s="8"/>
      <c r="H5" s="8"/>
      <c r="I5" s="8"/>
      <c r="J5" s="6">
        <v>-3500.0</v>
      </c>
      <c r="K5" s="6">
        <v>-11863.0</v>
      </c>
      <c r="L5" s="6">
        <v>122714.0</v>
      </c>
      <c r="M5" s="6">
        <v>-150000.0</v>
      </c>
      <c r="N5" s="9"/>
      <c r="O5" s="9"/>
      <c r="P5" s="4"/>
    </row>
    <row r="6">
      <c r="B6" s="1"/>
      <c r="C6" s="1"/>
      <c r="D6" s="1"/>
      <c r="E6" s="8"/>
      <c r="F6" s="8"/>
      <c r="G6" s="8"/>
      <c r="H6" s="8"/>
      <c r="I6" s="8"/>
      <c r="J6" s="6">
        <v>416479.0</v>
      </c>
      <c r="K6" s="6">
        <v>-32528.0</v>
      </c>
      <c r="L6" s="9"/>
      <c r="M6" s="6">
        <v>300000.0</v>
      </c>
      <c r="N6" s="9"/>
      <c r="O6" s="9"/>
      <c r="P6" s="4"/>
    </row>
    <row r="7">
      <c r="B7" s="2" t="s">
        <v>14</v>
      </c>
      <c r="C7" s="2" t="s">
        <v>15</v>
      </c>
      <c r="D7" s="1"/>
      <c r="E7" s="8"/>
      <c r="F7" s="8"/>
      <c r="G7" s="8"/>
      <c r="H7" s="8"/>
      <c r="I7" s="8"/>
      <c r="J7" s="6">
        <v>-10000.0</v>
      </c>
      <c r="K7" s="6">
        <v>-2700.0</v>
      </c>
      <c r="L7" s="9"/>
      <c r="M7" s="6">
        <v>-300000.0</v>
      </c>
      <c r="N7" s="9"/>
      <c r="O7" s="9"/>
      <c r="P7" s="4"/>
    </row>
    <row r="8">
      <c r="B8" s="10">
        <f>SUMIF(E3:O33,"&lt;0")*-1</f>
        <v>1461256</v>
      </c>
      <c r="C8" s="10">
        <f>SUMIF(J3:J33,"&lt;0")*-1</f>
        <v>603039</v>
      </c>
      <c r="D8" s="1"/>
      <c r="E8" s="8"/>
      <c r="F8" s="8"/>
      <c r="G8" s="8"/>
      <c r="H8" s="8"/>
      <c r="I8" s="8"/>
      <c r="J8" s="6">
        <v>-57150.0</v>
      </c>
      <c r="K8" s="6">
        <v>-27252.0</v>
      </c>
      <c r="L8" s="9"/>
      <c r="M8" s="9"/>
      <c r="N8" s="9"/>
      <c r="O8" s="9"/>
      <c r="P8" s="4"/>
    </row>
    <row r="9">
      <c r="D9" s="1"/>
      <c r="E9" s="8"/>
      <c r="F9" s="8"/>
      <c r="G9" s="8"/>
      <c r="H9" s="8"/>
      <c r="I9" s="8"/>
      <c r="J9" s="9">
        <f>1410</f>
        <v>1410</v>
      </c>
      <c r="K9" s="6">
        <v>-2730.0</v>
      </c>
      <c r="L9" s="9"/>
      <c r="M9" s="9"/>
      <c r="N9" s="9"/>
      <c r="O9" s="9"/>
      <c r="P9" s="4"/>
    </row>
    <row r="10">
      <c r="D10" s="4"/>
      <c r="E10" s="9"/>
      <c r="F10" s="9"/>
      <c r="G10" s="9"/>
      <c r="H10" s="9"/>
      <c r="I10" s="9"/>
      <c r="J10" s="6">
        <v>-10000.0</v>
      </c>
      <c r="K10" s="6">
        <v>-5000.0</v>
      </c>
      <c r="L10" s="9"/>
      <c r="M10" s="9"/>
      <c r="N10" s="9"/>
      <c r="O10" s="9"/>
      <c r="P10" s="4"/>
    </row>
    <row r="11">
      <c r="D11" s="4"/>
      <c r="E11" s="9"/>
      <c r="F11" s="9"/>
      <c r="G11" s="9"/>
      <c r="H11" s="9"/>
      <c r="I11" s="9"/>
      <c r="J11" s="9">
        <f>2850</f>
        <v>2850</v>
      </c>
      <c r="K11" s="6">
        <v>-2439.0</v>
      </c>
      <c r="L11" s="9"/>
      <c r="M11" s="9"/>
      <c r="N11" s="9"/>
      <c r="O11" s="9"/>
      <c r="P11" s="4"/>
    </row>
    <row r="12">
      <c r="D12" s="4"/>
      <c r="E12" s="9"/>
      <c r="F12" s="9"/>
      <c r="G12" s="9"/>
      <c r="H12" s="9"/>
      <c r="I12" s="9"/>
      <c r="J12" s="6">
        <v>-9027.0</v>
      </c>
      <c r="K12" s="9">
        <f>300000</f>
        <v>300000</v>
      </c>
      <c r="L12" s="9"/>
      <c r="M12" s="9"/>
      <c r="N12" s="9"/>
      <c r="O12" s="9"/>
      <c r="P12" s="4"/>
    </row>
    <row r="13">
      <c r="D13" s="4"/>
      <c r="E13" s="9"/>
      <c r="F13" s="9"/>
      <c r="G13" s="9"/>
      <c r="H13" s="9"/>
      <c r="I13" s="9"/>
      <c r="J13" s="6">
        <v>-22523.0</v>
      </c>
      <c r="K13" s="6">
        <v>-135306.0</v>
      </c>
      <c r="L13" s="9"/>
      <c r="M13" s="9"/>
      <c r="N13" s="9"/>
      <c r="O13" s="9"/>
      <c r="P13" s="4"/>
    </row>
    <row r="14">
      <c r="D14" s="4"/>
      <c r="E14" s="9"/>
      <c r="F14" s="11"/>
      <c r="G14" s="9"/>
      <c r="H14" s="9"/>
      <c r="I14" s="9"/>
      <c r="J14" s="9">
        <f>2820</f>
        <v>2820</v>
      </c>
      <c r="K14" s="6">
        <v>-40000.0</v>
      </c>
      <c r="L14" s="9"/>
      <c r="M14" s="9"/>
      <c r="N14" s="9"/>
      <c r="O14" s="9"/>
      <c r="P14" s="4"/>
    </row>
    <row r="15">
      <c r="D15" s="4"/>
      <c r="E15" s="9"/>
      <c r="F15" s="11"/>
      <c r="G15" s="9"/>
      <c r="H15" s="9"/>
      <c r="I15" s="9"/>
      <c r="J15" s="6">
        <v>-23140.0</v>
      </c>
      <c r="K15" s="9"/>
      <c r="L15" s="9"/>
      <c r="M15" s="9"/>
      <c r="N15" s="9"/>
      <c r="O15" s="9"/>
      <c r="P15" s="4"/>
    </row>
    <row r="16">
      <c r="D16" s="4"/>
      <c r="E16" s="9"/>
      <c r="F16" s="11"/>
      <c r="G16" s="9"/>
      <c r="H16" s="9"/>
      <c r="I16" s="9"/>
      <c r="J16" s="6">
        <v>-10000.0</v>
      </c>
      <c r="K16" s="9"/>
      <c r="L16" s="9"/>
      <c r="M16" s="9"/>
      <c r="N16" s="9"/>
      <c r="O16" s="9"/>
      <c r="P16" s="4"/>
    </row>
    <row r="17">
      <c r="D17" s="4"/>
      <c r="E17" s="9"/>
      <c r="F17" s="11"/>
      <c r="G17" s="9"/>
      <c r="H17" s="9"/>
      <c r="I17" s="9"/>
      <c r="J17" s="6">
        <v>-15990.0</v>
      </c>
      <c r="K17" s="9"/>
      <c r="L17" s="9"/>
      <c r="M17" s="9"/>
      <c r="N17" s="9"/>
      <c r="O17" s="9"/>
      <c r="P17" s="4"/>
    </row>
    <row r="18">
      <c r="D18" s="4"/>
      <c r="E18" s="9"/>
      <c r="F18" s="11"/>
      <c r="G18" s="9"/>
      <c r="H18" s="9"/>
      <c r="I18" s="9"/>
      <c r="J18" s="6">
        <v>-17400.0</v>
      </c>
      <c r="K18" s="9"/>
      <c r="L18" s="9"/>
      <c r="M18" s="9"/>
      <c r="N18" s="9"/>
      <c r="O18" s="9"/>
      <c r="P18" s="4"/>
    </row>
    <row r="19">
      <c r="D19" s="4"/>
      <c r="E19" s="9"/>
      <c r="F19" s="11"/>
      <c r="G19" s="9"/>
      <c r="H19" s="9"/>
      <c r="I19" s="9"/>
      <c r="J19" s="6">
        <v>-10000.0</v>
      </c>
      <c r="K19" s="9"/>
      <c r="L19" s="9"/>
      <c r="M19" s="9"/>
      <c r="N19" s="9"/>
      <c r="O19" s="9"/>
      <c r="P19" s="4"/>
    </row>
    <row r="20">
      <c r="D20" s="4"/>
      <c r="E20" s="9"/>
      <c r="F20" s="11"/>
      <c r="G20" s="9"/>
      <c r="H20" s="9"/>
      <c r="I20" s="9"/>
      <c r="J20" s="6">
        <v>110000.0</v>
      </c>
      <c r="K20" s="9"/>
      <c r="L20" s="9"/>
      <c r="M20" s="9"/>
      <c r="N20" s="9"/>
      <c r="O20" s="9"/>
      <c r="P20" s="4"/>
    </row>
    <row r="21">
      <c r="D21" s="4"/>
      <c r="E21" s="9"/>
      <c r="F21" s="11"/>
      <c r="G21" s="9"/>
      <c r="H21" s="9"/>
      <c r="I21" s="9"/>
      <c r="J21" s="6">
        <v>160459.0</v>
      </c>
      <c r="K21" s="9"/>
      <c r="L21" s="9"/>
      <c r="M21" s="9"/>
      <c r="N21" s="9"/>
      <c r="O21" s="9"/>
      <c r="P21" s="4"/>
    </row>
    <row r="22">
      <c r="D22" s="4"/>
      <c r="E22" s="9"/>
      <c r="F22" s="11"/>
      <c r="G22" s="9"/>
      <c r="H22" s="9"/>
      <c r="I22" s="9"/>
      <c r="J22" s="6">
        <v>-30463.0</v>
      </c>
      <c r="K22" s="9"/>
      <c r="L22" s="9"/>
      <c r="M22" s="9"/>
      <c r="N22" s="9"/>
      <c r="O22" s="9"/>
      <c r="P22" s="4"/>
    </row>
    <row r="23">
      <c r="D23" s="4"/>
      <c r="E23" s="9"/>
      <c r="F23" s="11"/>
      <c r="G23" s="9"/>
      <c r="H23" s="9"/>
      <c r="I23" s="9"/>
      <c r="J23" s="9">
        <f t="shared" ref="J23:J24" si="1">-22886*2</f>
        <v>-45772</v>
      </c>
      <c r="K23" s="9"/>
      <c r="L23" s="9"/>
      <c r="M23" s="9"/>
      <c r="N23" s="9"/>
      <c r="O23" s="9"/>
      <c r="P23" s="4"/>
    </row>
    <row r="24">
      <c r="D24" s="4"/>
      <c r="E24" s="9"/>
      <c r="F24" s="11"/>
      <c r="G24" s="9"/>
      <c r="H24" s="9"/>
      <c r="I24" s="9"/>
      <c r="J24" s="9">
        <f t="shared" si="1"/>
        <v>-45772</v>
      </c>
      <c r="K24" s="9"/>
      <c r="L24" s="9"/>
      <c r="M24" s="9"/>
      <c r="N24" s="9"/>
      <c r="O24" s="9"/>
      <c r="P24" s="4"/>
    </row>
    <row r="25">
      <c r="D25" s="4"/>
      <c r="E25" s="9"/>
      <c r="F25" s="11"/>
      <c r="G25" s="9"/>
      <c r="H25" s="9"/>
      <c r="I25" s="9"/>
      <c r="J25" s="6">
        <v>-24713.0</v>
      </c>
      <c r="K25" s="9"/>
      <c r="L25" s="9"/>
      <c r="M25" s="9"/>
      <c r="N25" s="9"/>
      <c r="O25" s="9"/>
      <c r="P25" s="4"/>
    </row>
    <row r="26">
      <c r="D26" s="4"/>
      <c r="E26" s="9"/>
      <c r="F26" s="11"/>
      <c r="G26" s="9"/>
      <c r="H26" s="9"/>
      <c r="I26" s="9"/>
      <c r="J26" s="6">
        <v>-33000.0</v>
      </c>
      <c r="K26" s="9"/>
      <c r="L26" s="9"/>
      <c r="M26" s="9"/>
      <c r="N26" s="9"/>
      <c r="O26" s="9"/>
      <c r="P26" s="4"/>
    </row>
    <row r="27">
      <c r="D27" s="4"/>
      <c r="E27" s="9"/>
      <c r="F27" s="11"/>
      <c r="G27" s="9"/>
      <c r="H27" s="9"/>
      <c r="I27" s="9"/>
      <c r="J27" s="6">
        <v>-36037.0</v>
      </c>
      <c r="K27" s="9"/>
      <c r="L27" s="9"/>
      <c r="M27" s="9"/>
      <c r="N27" s="9"/>
      <c r="O27" s="9"/>
      <c r="P27" s="4"/>
    </row>
    <row r="28">
      <c r="D28" s="4"/>
      <c r="E28" s="9"/>
      <c r="F28" s="11"/>
      <c r="G28" s="9"/>
      <c r="H28" s="9"/>
      <c r="I28" s="9"/>
      <c r="J28" s="6">
        <v>-67700.0</v>
      </c>
      <c r="K28" s="9"/>
      <c r="L28" s="9"/>
      <c r="M28" s="9"/>
      <c r="N28" s="9"/>
      <c r="O28" s="9"/>
      <c r="P28" s="4"/>
    </row>
    <row r="29">
      <c r="D29" s="4"/>
      <c r="E29" s="9"/>
      <c r="F29" s="11"/>
      <c r="G29" s="9"/>
      <c r="H29" s="9"/>
      <c r="I29" s="9"/>
      <c r="J29" s="6">
        <v>-29933.0</v>
      </c>
      <c r="K29" s="9"/>
      <c r="L29" s="9"/>
      <c r="M29" s="9"/>
      <c r="N29" s="9"/>
      <c r="O29" s="9"/>
      <c r="P29" s="4"/>
    </row>
    <row r="30">
      <c r="D30" s="4"/>
      <c r="E30" s="9"/>
      <c r="F30" s="11"/>
      <c r="G30" s="9"/>
      <c r="H30" s="9"/>
      <c r="I30" s="9"/>
      <c r="J30" s="6">
        <v>-49993.0</v>
      </c>
      <c r="K30" s="9"/>
      <c r="L30" s="9"/>
      <c r="M30" s="9"/>
      <c r="N30" s="9"/>
      <c r="O30" s="9"/>
      <c r="P30" s="4"/>
    </row>
    <row r="31">
      <c r="D31" s="4"/>
      <c r="E31" s="9"/>
      <c r="F31" s="11"/>
      <c r="G31" s="9"/>
      <c r="H31" s="9"/>
      <c r="I31" s="9"/>
      <c r="J31" s="6">
        <v>-19993.0</v>
      </c>
      <c r="K31" s="9"/>
      <c r="L31" s="9"/>
      <c r="M31" s="9"/>
      <c r="N31" s="9"/>
      <c r="O31" s="9"/>
      <c r="P31" s="4"/>
    </row>
    <row r="32">
      <c r="D32" s="4"/>
      <c r="E32" s="9"/>
      <c r="F32" s="11"/>
      <c r="G32" s="9"/>
      <c r="H32" s="9"/>
      <c r="I32" s="9"/>
      <c r="J32" s="6">
        <v>-11000.0</v>
      </c>
      <c r="K32" s="9"/>
      <c r="L32" s="9"/>
      <c r="M32" s="9"/>
      <c r="N32" s="9"/>
      <c r="O32" s="9"/>
      <c r="P32" s="4"/>
    </row>
    <row r="33">
      <c r="D33" s="4"/>
      <c r="E33" s="12"/>
      <c r="F33" s="12"/>
      <c r="G33" s="12"/>
      <c r="H33" s="12"/>
      <c r="I33" s="12"/>
      <c r="J33" s="13">
        <v>-9933.0</v>
      </c>
      <c r="K33" s="12"/>
      <c r="L33" s="12"/>
      <c r="M33" s="12"/>
      <c r="N33" s="12"/>
      <c r="O33" s="12"/>
      <c r="P33" s="4"/>
    </row>
    <row r="34"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</row>
    <row r="35"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</row>
    <row r="36">
      <c r="D36" s="14" t="s">
        <v>16</v>
      </c>
      <c r="E36" s="15">
        <f t="shared" ref="E36:O36" si="2">SUM(E3:E33)</f>
        <v>0</v>
      </c>
      <c r="F36" s="15">
        <f t="shared" si="2"/>
        <v>0</v>
      </c>
      <c r="G36" s="15">
        <f t="shared" si="2"/>
        <v>1155331</v>
      </c>
      <c r="H36" s="15">
        <f t="shared" si="2"/>
        <v>0</v>
      </c>
      <c r="I36" s="15">
        <f t="shared" si="2"/>
        <v>0</v>
      </c>
      <c r="J36" s="15">
        <f t="shared" si="2"/>
        <v>273341</v>
      </c>
      <c r="K36" s="15">
        <f t="shared" si="2"/>
        <v>115402</v>
      </c>
      <c r="L36" s="15">
        <f t="shared" si="2"/>
        <v>0</v>
      </c>
      <c r="M36" s="15">
        <f t="shared" si="2"/>
        <v>0</v>
      </c>
      <c r="N36" s="15">
        <f t="shared" si="2"/>
        <v>1055061</v>
      </c>
      <c r="O36" s="15">
        <f t="shared" si="2"/>
        <v>1000000</v>
      </c>
      <c r="P36" s="16">
        <f>SUM(E36:O36)</f>
        <v>3599135</v>
      </c>
    </row>
  </sheetData>
  <conditionalFormatting sqref="E4:O33">
    <cfRule type="cellIs" dxfId="0" priority="1" operator="lessThan">
      <formula>0</formula>
    </cfRule>
  </conditionalFormatting>
  <conditionalFormatting sqref="E4:O33">
    <cfRule type="cellIs" dxfId="1" priority="2" operator="greaterThan">
      <formula>0</formula>
    </cfRule>
  </conditionalFormatting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2.38"/>
    <col customWidth="1" min="3" max="3" width="17.88"/>
    <col customWidth="1" min="4" max="4" width="8.38"/>
    <col customWidth="1" min="7" max="7" width="15.25"/>
    <col customWidth="1" min="8" max="8" width="14.75"/>
  </cols>
  <sheetData>
    <row r="2">
      <c r="D2" s="1"/>
      <c r="E2" s="2" t="s">
        <v>0</v>
      </c>
      <c r="F2" s="2" t="s">
        <v>1</v>
      </c>
      <c r="G2" s="2" t="s">
        <v>2</v>
      </c>
      <c r="H2" s="2" t="s">
        <v>3</v>
      </c>
      <c r="I2" s="2" t="s">
        <v>4</v>
      </c>
      <c r="J2" s="2" t="s">
        <v>5</v>
      </c>
      <c r="K2" s="3" t="s">
        <v>6</v>
      </c>
      <c r="L2" s="3" t="s">
        <v>7</v>
      </c>
      <c r="M2" s="3" t="s">
        <v>8</v>
      </c>
      <c r="N2" s="3" t="s">
        <v>9</v>
      </c>
      <c r="O2" s="3" t="s">
        <v>10</v>
      </c>
      <c r="P2" s="4"/>
    </row>
    <row r="3">
      <c r="D3" s="1"/>
      <c r="E3" s="5">
        <f>'Enero 2026'!E36</f>
        <v>0</v>
      </c>
      <c r="F3" s="5">
        <f>'Enero 2026'!F36</f>
        <v>0</v>
      </c>
      <c r="G3" s="5">
        <f>'Enero 2026'!G36</f>
        <v>1155331</v>
      </c>
      <c r="H3" s="5">
        <f>'Enero 2026'!H36</f>
        <v>0</v>
      </c>
      <c r="I3" s="5">
        <f>'Enero 2026'!I36</f>
        <v>0</v>
      </c>
      <c r="J3" s="5">
        <f>'Enero 2026'!J36</f>
        <v>273341</v>
      </c>
      <c r="K3" s="6">
        <f>'Enero 2026'!K36</f>
        <v>115402</v>
      </c>
      <c r="L3" s="7">
        <f>'Enero 2026'!L36</f>
        <v>0</v>
      </c>
      <c r="M3" s="6">
        <f>'Enero 2026'!M36</f>
        <v>0</v>
      </c>
      <c r="N3" s="6">
        <f>'Enero 2026'!N36</f>
        <v>1055061</v>
      </c>
      <c r="O3" s="6">
        <f>'Enero 2026'!O36</f>
        <v>1000000</v>
      </c>
      <c r="P3" s="4"/>
    </row>
    <row r="4">
      <c r="B4" s="2" t="s">
        <v>12</v>
      </c>
      <c r="C4" s="2" t="s">
        <v>13</v>
      </c>
      <c r="D4" s="1"/>
      <c r="E4" s="8"/>
      <c r="F4" s="8"/>
      <c r="G4" s="5">
        <v>-22648.0</v>
      </c>
      <c r="H4" s="8"/>
      <c r="I4" s="8"/>
      <c r="J4" s="6">
        <v>-10000.0</v>
      </c>
      <c r="K4" s="6">
        <v>-2000.0</v>
      </c>
      <c r="L4" s="6">
        <v>122714.0</v>
      </c>
      <c r="M4" s="6">
        <f>150000</f>
        <v>150000</v>
      </c>
      <c r="N4" s="6">
        <v>-14067.0</v>
      </c>
      <c r="O4" s="9"/>
      <c r="P4" s="4"/>
    </row>
    <row r="5">
      <c r="B5" s="10">
        <v>0.0</v>
      </c>
      <c r="C5" s="10">
        <f>B5</f>
        <v>0</v>
      </c>
      <c r="D5" s="1"/>
      <c r="E5" s="8"/>
      <c r="F5" s="8"/>
      <c r="G5" s="8"/>
      <c r="H5" s="8"/>
      <c r="I5" s="8"/>
      <c r="J5" s="6">
        <v>-14150.0</v>
      </c>
      <c r="K5" s="6">
        <v>-12090.0</v>
      </c>
      <c r="L5" s="6"/>
      <c r="M5" s="6">
        <v>-2780.0</v>
      </c>
      <c r="N5" s="9"/>
      <c r="O5" s="9"/>
      <c r="P5" s="4"/>
    </row>
    <row r="6">
      <c r="B6" s="1"/>
      <c r="C6" s="1"/>
      <c r="D6" s="1"/>
      <c r="E6" s="8"/>
      <c r="F6" s="8"/>
      <c r="G6" s="8"/>
      <c r="H6" s="8"/>
      <c r="I6" s="8"/>
      <c r="J6" s="6">
        <v>-10000.0</v>
      </c>
      <c r="K6" s="6">
        <v>-4720.0</v>
      </c>
      <c r="L6" s="9"/>
      <c r="M6" s="6">
        <v>-2987.0</v>
      </c>
      <c r="N6" s="9"/>
      <c r="O6" s="9"/>
      <c r="P6" s="4"/>
    </row>
    <row r="7">
      <c r="B7" s="2" t="s">
        <v>14</v>
      </c>
      <c r="C7" s="2" t="s">
        <v>15</v>
      </c>
      <c r="D7" s="1"/>
      <c r="E7" s="8"/>
      <c r="F7" s="8"/>
      <c r="G7" s="8"/>
      <c r="H7" s="8"/>
      <c r="I7" s="8"/>
      <c r="J7" s="6">
        <v>287908.0</v>
      </c>
      <c r="K7" s="6">
        <v>-3408.0</v>
      </c>
      <c r="L7" s="9"/>
      <c r="M7" s="6">
        <v>-3132.0</v>
      </c>
      <c r="N7" s="9"/>
      <c r="O7" s="9"/>
      <c r="P7" s="4"/>
    </row>
    <row r="8">
      <c r="B8" s="10">
        <f>SUMIF(E3:O31,"&lt;0")*-1</f>
        <v>1193035</v>
      </c>
      <c r="C8" s="10">
        <f>SUMIF(J3:J31,"&lt;0")*-1</f>
        <v>331555</v>
      </c>
      <c r="D8" s="1"/>
      <c r="E8" s="8"/>
      <c r="F8" s="8"/>
      <c r="G8" s="8"/>
      <c r="H8" s="8"/>
      <c r="I8" s="8"/>
      <c r="J8" s="6">
        <v>-9027.0</v>
      </c>
      <c r="K8" s="6">
        <v>-109269.0</v>
      </c>
      <c r="L8" s="9"/>
      <c r="M8" s="6">
        <v>-8525.0</v>
      </c>
      <c r="N8" s="9"/>
      <c r="O8" s="9"/>
      <c r="P8" s="4"/>
    </row>
    <row r="9">
      <c r="D9" s="1"/>
      <c r="E9" s="8"/>
      <c r="F9" s="8"/>
      <c r="G9" s="8"/>
      <c r="H9" s="8"/>
      <c r="I9" s="8"/>
      <c r="J9" s="6">
        <v>-24268.0</v>
      </c>
      <c r="K9" s="6">
        <v>-2400.0</v>
      </c>
      <c r="L9" s="9"/>
      <c r="M9" s="6">
        <v>-2740.0</v>
      </c>
      <c r="N9" s="9"/>
      <c r="O9" s="9"/>
      <c r="P9" s="4"/>
    </row>
    <row r="10">
      <c r="D10" s="4"/>
      <c r="E10" s="9"/>
      <c r="F10" s="9"/>
      <c r="G10" s="9"/>
      <c r="H10" s="9"/>
      <c r="I10" s="9"/>
      <c r="J10" s="6">
        <f>2496</f>
        <v>2496</v>
      </c>
      <c r="K10" s="6">
        <v>-4350.0</v>
      </c>
      <c r="L10" s="9"/>
      <c r="M10" s="6">
        <v>300000.0</v>
      </c>
      <c r="N10" s="9"/>
      <c r="O10" s="9"/>
      <c r="P10" s="4"/>
    </row>
    <row r="11">
      <c r="D11" s="4"/>
      <c r="E11" s="9"/>
      <c r="F11" s="9"/>
      <c r="G11" s="9"/>
      <c r="H11" s="9"/>
      <c r="I11" s="9"/>
      <c r="J11" s="6">
        <v>-3300.0</v>
      </c>
      <c r="K11" s="6">
        <v>300000.0</v>
      </c>
      <c r="L11" s="9"/>
      <c r="M11" s="6">
        <v>-2330.0</v>
      </c>
      <c r="N11" s="9"/>
      <c r="O11" s="9"/>
      <c r="P11" s="4"/>
    </row>
    <row r="12">
      <c r="D12" s="4"/>
      <c r="E12" s="9"/>
      <c r="F12" s="9"/>
      <c r="G12" s="9"/>
      <c r="H12" s="9"/>
      <c r="I12" s="9"/>
      <c r="J12" s="6">
        <v>-10000.0</v>
      </c>
      <c r="K12" s="6">
        <v>100000.0</v>
      </c>
      <c r="L12" s="9"/>
      <c r="M12" s="6">
        <v>-100000.0</v>
      </c>
      <c r="N12" s="9"/>
      <c r="O12" s="9"/>
      <c r="P12" s="4"/>
    </row>
    <row r="13">
      <c r="D13" s="4"/>
      <c r="E13" s="9"/>
      <c r="F13" s="9"/>
      <c r="G13" s="9"/>
      <c r="H13" s="9"/>
      <c r="I13" s="9"/>
      <c r="J13" s="6">
        <v>-5000.0</v>
      </c>
      <c r="K13" s="6">
        <v>-195532.0</v>
      </c>
      <c r="L13" s="9"/>
      <c r="M13" s="6">
        <v>-300000.0</v>
      </c>
      <c r="N13" s="9"/>
      <c r="O13" s="9"/>
      <c r="P13" s="4"/>
    </row>
    <row r="14">
      <c r="D14" s="4"/>
      <c r="E14" s="9"/>
      <c r="F14" s="11"/>
      <c r="G14" s="9"/>
      <c r="H14" s="9"/>
      <c r="I14" s="9"/>
      <c r="J14" s="6">
        <v>-30600.0</v>
      </c>
      <c r="K14" s="6">
        <v>-40000.0</v>
      </c>
      <c r="L14" s="9"/>
      <c r="M14" s="9"/>
      <c r="N14" s="9"/>
      <c r="O14" s="9"/>
      <c r="P14" s="4"/>
    </row>
    <row r="15">
      <c r="D15" s="4"/>
      <c r="E15" s="9"/>
      <c r="F15" s="11"/>
      <c r="G15" s="9"/>
      <c r="H15" s="9"/>
      <c r="I15" s="9"/>
      <c r="J15" s="6">
        <v>-10000.0</v>
      </c>
      <c r="K15" s="6">
        <v>-28502.0</v>
      </c>
      <c r="L15" s="9"/>
      <c r="M15" s="9"/>
      <c r="N15" s="9"/>
      <c r="O15" s="9"/>
      <c r="P15" s="4"/>
    </row>
    <row r="16">
      <c r="D16" s="4"/>
      <c r="E16" s="9"/>
      <c r="F16" s="11"/>
      <c r="G16" s="9"/>
      <c r="H16" s="9"/>
      <c r="I16" s="9"/>
      <c r="J16" s="6">
        <v>-1100.0</v>
      </c>
      <c r="K16" s="9"/>
      <c r="L16" s="9"/>
      <c r="M16" s="9"/>
      <c r="N16" s="9"/>
      <c r="O16" s="9"/>
      <c r="P16" s="4"/>
    </row>
    <row r="17">
      <c r="D17" s="4"/>
      <c r="E17" s="9"/>
      <c r="F17" s="11"/>
      <c r="G17" s="9"/>
      <c r="H17" s="9"/>
      <c r="I17" s="9"/>
      <c r="J17" s="6">
        <v>50000.0</v>
      </c>
      <c r="K17" s="9"/>
      <c r="L17" s="9"/>
      <c r="M17" s="9"/>
      <c r="N17" s="9"/>
      <c r="O17" s="9"/>
      <c r="P17" s="4"/>
    </row>
    <row r="18">
      <c r="D18" s="4"/>
      <c r="E18" s="9"/>
      <c r="F18" s="11"/>
      <c r="G18" s="9"/>
      <c r="H18" s="9"/>
      <c r="I18" s="9"/>
      <c r="J18" s="6">
        <v>78642.0</v>
      </c>
      <c r="K18" s="9"/>
      <c r="L18" s="9"/>
      <c r="M18" s="9"/>
      <c r="N18" s="9"/>
      <c r="O18" s="9"/>
      <c r="P18" s="4"/>
    </row>
    <row r="19">
      <c r="D19" s="4"/>
      <c r="E19" s="9"/>
      <c r="F19" s="11"/>
      <c r="G19" s="9"/>
      <c r="H19" s="9"/>
      <c r="I19" s="9"/>
      <c r="J19" s="6">
        <v>-5100.0</v>
      </c>
      <c r="K19" s="9"/>
      <c r="L19" s="9"/>
      <c r="M19" s="9"/>
      <c r="N19" s="9"/>
      <c r="O19" s="9"/>
      <c r="P19" s="4"/>
    </row>
    <row r="20">
      <c r="D20" s="4"/>
      <c r="E20" s="9"/>
      <c r="F20" s="11"/>
      <c r="G20" s="9"/>
      <c r="H20" s="9"/>
      <c r="I20" s="9"/>
      <c r="J20" s="6">
        <v>-10000.0</v>
      </c>
      <c r="K20" s="9"/>
      <c r="L20" s="9"/>
      <c r="M20" s="9"/>
      <c r="N20" s="9"/>
      <c r="O20" s="9"/>
      <c r="P20" s="4"/>
    </row>
    <row r="21">
      <c r="D21" s="4"/>
      <c r="E21" s="9"/>
      <c r="F21" s="11"/>
      <c r="G21" s="9"/>
      <c r="H21" s="9"/>
      <c r="I21" s="9"/>
      <c r="J21" s="6">
        <v>-30010.0</v>
      </c>
      <c r="K21" s="9"/>
      <c r="L21" s="9"/>
      <c r="M21" s="9"/>
      <c r="N21" s="9"/>
      <c r="O21" s="9"/>
      <c r="P21" s="4"/>
    </row>
    <row r="22">
      <c r="D22" s="4"/>
      <c r="E22" s="9"/>
      <c r="F22" s="11"/>
      <c r="G22" s="9"/>
      <c r="H22" s="9"/>
      <c r="I22" s="9"/>
      <c r="J22" s="6">
        <v>-24713.0</v>
      </c>
      <c r="K22" s="9"/>
      <c r="L22" s="9"/>
      <c r="M22" s="9"/>
      <c r="N22" s="9"/>
      <c r="O22" s="9"/>
      <c r="P22" s="4"/>
    </row>
    <row r="23">
      <c r="D23" s="4"/>
      <c r="E23" s="9"/>
      <c r="F23" s="11"/>
      <c r="G23" s="9"/>
      <c r="H23" s="9"/>
      <c r="I23" s="9"/>
      <c r="J23" s="6">
        <v>-29934.0</v>
      </c>
      <c r="K23" s="9"/>
      <c r="L23" s="9"/>
      <c r="M23" s="9"/>
      <c r="N23" s="9"/>
      <c r="O23" s="9"/>
      <c r="P23" s="4"/>
    </row>
    <row r="24">
      <c r="D24" s="4"/>
      <c r="E24" s="9"/>
      <c r="F24" s="11"/>
      <c r="G24" s="9"/>
      <c r="H24" s="9"/>
      <c r="I24" s="9"/>
      <c r="J24" s="6">
        <v>-49994.0</v>
      </c>
      <c r="K24" s="9"/>
      <c r="L24" s="9"/>
      <c r="M24" s="9"/>
      <c r="N24" s="9"/>
      <c r="O24" s="9"/>
      <c r="P24" s="4"/>
    </row>
    <row r="25">
      <c r="D25" s="4"/>
      <c r="E25" s="9"/>
      <c r="F25" s="11"/>
      <c r="G25" s="9"/>
      <c r="H25" s="9"/>
      <c r="I25" s="9"/>
      <c r="J25" s="6">
        <v>-19993.0</v>
      </c>
      <c r="K25" s="9"/>
      <c r="L25" s="9"/>
      <c r="M25" s="9"/>
      <c r="N25" s="9"/>
      <c r="O25" s="9"/>
      <c r="P25" s="4"/>
    </row>
    <row r="26">
      <c r="D26" s="4"/>
      <c r="E26" s="9"/>
      <c r="F26" s="11"/>
      <c r="G26" s="9"/>
      <c r="H26" s="9"/>
      <c r="I26" s="9"/>
      <c r="J26" s="6">
        <v>-11000.0</v>
      </c>
      <c r="K26" s="9"/>
      <c r="L26" s="9"/>
      <c r="M26" s="9"/>
      <c r="N26" s="9"/>
      <c r="O26" s="9"/>
      <c r="P26" s="4"/>
    </row>
    <row r="27">
      <c r="D27" s="4"/>
      <c r="E27" s="9"/>
      <c r="F27" s="11"/>
      <c r="G27" s="9"/>
      <c r="H27" s="9"/>
      <c r="I27" s="9"/>
      <c r="J27" s="6">
        <v>-13430.0</v>
      </c>
      <c r="K27" s="9"/>
      <c r="L27" s="9"/>
      <c r="M27" s="9"/>
      <c r="N27" s="9"/>
      <c r="O27" s="9"/>
      <c r="P27" s="4"/>
    </row>
    <row r="28">
      <c r="D28" s="4"/>
      <c r="E28" s="9"/>
      <c r="F28" s="11"/>
      <c r="G28" s="9"/>
      <c r="H28" s="9"/>
      <c r="I28" s="9"/>
      <c r="J28" s="6">
        <v>-9936.0</v>
      </c>
      <c r="K28" s="9"/>
      <c r="L28" s="9"/>
      <c r="M28" s="9"/>
      <c r="N28" s="9"/>
      <c r="O28" s="9"/>
      <c r="P28" s="4"/>
    </row>
    <row r="29">
      <c r="D29" s="4"/>
      <c r="E29" s="9"/>
      <c r="F29" s="11"/>
      <c r="G29" s="9"/>
      <c r="H29" s="9"/>
      <c r="I29" s="9"/>
      <c r="J29" s="6"/>
      <c r="K29" s="9"/>
      <c r="L29" s="9"/>
      <c r="M29" s="9"/>
      <c r="N29" s="9"/>
      <c r="O29" s="9"/>
      <c r="P29" s="4"/>
    </row>
    <row r="30">
      <c r="D30" s="4"/>
      <c r="E30" s="9"/>
      <c r="F30" s="11"/>
      <c r="G30" s="9"/>
      <c r="H30" s="9"/>
      <c r="I30" s="9"/>
      <c r="J30" s="6"/>
      <c r="K30" s="9"/>
      <c r="L30" s="9"/>
      <c r="M30" s="9"/>
      <c r="N30" s="9"/>
      <c r="O30" s="9"/>
      <c r="P30" s="4"/>
    </row>
    <row r="31">
      <c r="D31" s="4"/>
      <c r="E31" s="12"/>
      <c r="F31" s="12"/>
      <c r="G31" s="12"/>
      <c r="H31" s="12"/>
      <c r="I31" s="12"/>
      <c r="J31" s="13"/>
      <c r="K31" s="12"/>
      <c r="L31" s="12"/>
      <c r="M31" s="12"/>
      <c r="N31" s="12"/>
      <c r="O31" s="12"/>
      <c r="P31" s="4"/>
    </row>
    <row r="32"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</row>
    <row r="33"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</row>
    <row r="34">
      <c r="D34" s="14" t="s">
        <v>16</v>
      </c>
      <c r="E34" s="15">
        <f t="shared" ref="E34:O34" si="1">SUM(E3:E31)</f>
        <v>0</v>
      </c>
      <c r="F34" s="15">
        <f t="shared" si="1"/>
        <v>0</v>
      </c>
      <c r="G34" s="15">
        <f t="shared" si="1"/>
        <v>1132683</v>
      </c>
      <c r="H34" s="15">
        <f t="shared" si="1"/>
        <v>0</v>
      </c>
      <c r="I34" s="15">
        <f t="shared" si="1"/>
        <v>0</v>
      </c>
      <c r="J34" s="15">
        <f t="shared" si="1"/>
        <v>360832</v>
      </c>
      <c r="K34" s="15">
        <f t="shared" si="1"/>
        <v>113131</v>
      </c>
      <c r="L34" s="15">
        <f t="shared" si="1"/>
        <v>122714</v>
      </c>
      <c r="M34" s="15">
        <f t="shared" si="1"/>
        <v>27506</v>
      </c>
      <c r="N34" s="15">
        <f t="shared" si="1"/>
        <v>1040994</v>
      </c>
      <c r="O34" s="15">
        <f t="shared" si="1"/>
        <v>1000000</v>
      </c>
      <c r="P34" s="16">
        <f>SUM(E34:O34)</f>
        <v>3797860</v>
      </c>
    </row>
  </sheetData>
  <conditionalFormatting sqref="E4:O31">
    <cfRule type="cellIs" dxfId="0" priority="1" operator="lessThan">
      <formula>0</formula>
    </cfRule>
  </conditionalFormatting>
  <conditionalFormatting sqref="E4:O31">
    <cfRule type="cellIs" dxfId="1" priority="2" operator="greaterThan">
      <formula>0</formula>
    </cfRule>
  </conditionalFormatting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2.38"/>
    <col customWidth="1" min="3" max="3" width="17.88"/>
    <col customWidth="1" min="4" max="4" width="8.38"/>
    <col customWidth="1" min="7" max="7" width="15.25"/>
    <col customWidth="1" min="8" max="8" width="14.75"/>
  </cols>
  <sheetData>
    <row r="2">
      <c r="D2" s="1"/>
      <c r="E2" s="2" t="s">
        <v>0</v>
      </c>
      <c r="F2" s="2" t="s">
        <v>1</v>
      </c>
      <c r="G2" s="2" t="s">
        <v>2</v>
      </c>
      <c r="H2" s="2" t="s">
        <v>3</v>
      </c>
      <c r="I2" s="2" t="s">
        <v>4</v>
      </c>
      <c r="J2" s="2" t="s">
        <v>5</v>
      </c>
      <c r="K2" s="3" t="s">
        <v>6</v>
      </c>
      <c r="L2" s="3" t="s">
        <v>7</v>
      </c>
      <c r="M2" s="3" t="s">
        <v>8</v>
      </c>
      <c r="N2" s="3" t="s">
        <v>9</v>
      </c>
      <c r="O2" s="3" t="s">
        <v>10</v>
      </c>
      <c r="P2" s="4"/>
    </row>
    <row r="3">
      <c r="D3" s="1"/>
      <c r="E3" s="5">
        <f>'Febrero 2026'!E34</f>
        <v>0</v>
      </c>
      <c r="F3" s="5">
        <f>'Febrero 2026'!F34</f>
        <v>0</v>
      </c>
      <c r="G3" s="5">
        <f>'Febrero 2026'!G34</f>
        <v>1132683</v>
      </c>
      <c r="H3" s="5">
        <f>'Febrero 2026'!H34</f>
        <v>0</v>
      </c>
      <c r="I3" s="5">
        <f>'Febrero 2026'!I34</f>
        <v>0</v>
      </c>
      <c r="J3" s="5">
        <f>'Febrero 2026'!J34</f>
        <v>360832</v>
      </c>
      <c r="K3" s="6">
        <f>'Febrero 2026'!K34</f>
        <v>113131</v>
      </c>
      <c r="L3" s="7">
        <f>'Febrero 2026'!L34</f>
        <v>122714</v>
      </c>
      <c r="M3" s="6">
        <f>'Febrero 2026'!M34</f>
        <v>27506</v>
      </c>
      <c r="N3" s="6">
        <f>'Febrero 2026'!N34</f>
        <v>1040994</v>
      </c>
      <c r="O3" s="6">
        <f>'Febrero 2026'!O34</f>
        <v>1000000</v>
      </c>
      <c r="P3" s="4"/>
    </row>
    <row r="4">
      <c r="B4" s="2" t="s">
        <v>12</v>
      </c>
      <c r="C4" s="2" t="s">
        <v>13</v>
      </c>
      <c r="D4" s="1"/>
      <c r="E4" s="8"/>
      <c r="F4" s="8"/>
      <c r="G4" s="5">
        <v>-22733.0</v>
      </c>
      <c r="H4" s="8"/>
      <c r="I4" s="8"/>
      <c r="J4" s="6">
        <v>-12398.0</v>
      </c>
      <c r="K4" s="6">
        <v>-1330.0</v>
      </c>
      <c r="L4" s="6">
        <v>-122714.0</v>
      </c>
      <c r="M4" s="6">
        <v>-27506.0</v>
      </c>
      <c r="N4" s="6"/>
      <c r="O4" s="6">
        <v>100230.0</v>
      </c>
      <c r="P4" s="4"/>
    </row>
    <row r="5">
      <c r="B5" s="10">
        <v>0.0</v>
      </c>
      <c r="C5" s="10">
        <f>B5</f>
        <v>0</v>
      </c>
      <c r="D5" s="1"/>
      <c r="E5" s="8"/>
      <c r="F5" s="8"/>
      <c r="G5" s="8"/>
      <c r="H5" s="8"/>
      <c r="I5" s="8"/>
      <c r="J5" s="6">
        <v>-4290.0</v>
      </c>
      <c r="K5" s="6">
        <v>-2000.0</v>
      </c>
      <c r="L5" s="6"/>
      <c r="M5" s="6">
        <v>150000.0</v>
      </c>
      <c r="N5" s="9"/>
      <c r="O5" s="6">
        <v>110000.0</v>
      </c>
      <c r="P5" s="4"/>
    </row>
    <row r="6">
      <c r="B6" s="1"/>
      <c r="C6" s="1"/>
      <c r="D6" s="1"/>
      <c r="E6" s="8"/>
      <c r="F6" s="8"/>
      <c r="G6" s="8"/>
      <c r="H6" s="8"/>
      <c r="I6" s="8"/>
      <c r="J6" s="6">
        <v>-758.0</v>
      </c>
      <c r="K6" s="6">
        <v>-51569.0</v>
      </c>
      <c r="L6" s="9"/>
      <c r="M6" s="6">
        <v>-150000.0</v>
      </c>
      <c r="N6" s="9"/>
      <c r="O6" s="9">
        <f>30000</f>
        <v>30000</v>
      </c>
      <c r="P6" s="4"/>
    </row>
    <row r="7">
      <c r="B7" s="2" t="s">
        <v>14</v>
      </c>
      <c r="C7" s="2" t="s">
        <v>15</v>
      </c>
      <c r="D7" s="1"/>
      <c r="E7" s="8"/>
      <c r="F7" s="8"/>
      <c r="G7" s="8"/>
      <c r="H7" s="8"/>
      <c r="I7" s="8"/>
      <c r="J7" s="6">
        <v>-9027.0</v>
      </c>
      <c r="K7" s="6">
        <v>-1700.0</v>
      </c>
      <c r="L7" s="9"/>
      <c r="M7" s="6">
        <v>300000.0</v>
      </c>
      <c r="N7" s="9"/>
      <c r="O7" s="6">
        <v>585386.0</v>
      </c>
      <c r="P7" s="4"/>
    </row>
    <row r="8">
      <c r="B8" s="10">
        <f>SUMIF(E3:O36,"&lt;0")*-1</f>
        <v>1114648</v>
      </c>
      <c r="C8" s="10">
        <f>SUMIF(J3:J36,"&lt;0")*-1</f>
        <v>481265</v>
      </c>
      <c r="D8" s="1"/>
      <c r="E8" s="8"/>
      <c r="F8" s="8"/>
      <c r="G8" s="8"/>
      <c r="H8" s="8"/>
      <c r="I8" s="8"/>
      <c r="J8" s="6">
        <v>-24268.0</v>
      </c>
      <c r="K8" s="6">
        <f>M4*-1</f>
        <v>27506</v>
      </c>
      <c r="L8" s="9"/>
      <c r="M8" s="6"/>
      <c r="N8" s="9"/>
      <c r="O8" s="9"/>
      <c r="P8" s="4"/>
    </row>
    <row r="9">
      <c r="D9" s="1"/>
      <c r="E9" s="8"/>
      <c r="F9" s="8"/>
      <c r="G9" s="8"/>
      <c r="H9" s="8"/>
      <c r="I9" s="8"/>
      <c r="J9" s="6">
        <v>-21140.0</v>
      </c>
      <c r="K9" s="6">
        <v>-2100.0</v>
      </c>
      <c r="L9" s="9"/>
      <c r="M9" s="6"/>
      <c r="N9" s="9"/>
      <c r="O9" s="9"/>
      <c r="P9" s="4"/>
    </row>
    <row r="10">
      <c r="D10" s="4"/>
      <c r="E10" s="9"/>
      <c r="F10" s="9"/>
      <c r="G10" s="9"/>
      <c r="H10" s="9"/>
      <c r="I10" s="9"/>
      <c r="J10" s="6">
        <v>-10000.0</v>
      </c>
      <c r="K10" s="6">
        <v>-3199.0</v>
      </c>
      <c r="L10" s="9"/>
      <c r="M10" s="6"/>
      <c r="N10" s="9"/>
      <c r="O10" s="9"/>
      <c r="P10" s="4"/>
    </row>
    <row r="11">
      <c r="D11" s="4"/>
      <c r="E11" s="9"/>
      <c r="F11" s="9"/>
      <c r="G11" s="9"/>
      <c r="H11" s="9"/>
      <c r="I11" s="9"/>
      <c r="J11" s="6">
        <f>3079</f>
        <v>3079</v>
      </c>
      <c r="K11" s="6">
        <v>-2492.0</v>
      </c>
      <c r="L11" s="9"/>
      <c r="M11" s="6"/>
      <c r="N11" s="9"/>
      <c r="O11" s="9"/>
      <c r="P11" s="4"/>
    </row>
    <row r="12">
      <c r="D12" s="4"/>
      <c r="E12" s="9"/>
      <c r="F12" s="9"/>
      <c r="G12" s="9"/>
      <c r="H12" s="9"/>
      <c r="I12" s="9"/>
      <c r="J12" s="6">
        <v>-10000.0</v>
      </c>
      <c r="K12" s="6">
        <v>-11650.0</v>
      </c>
      <c r="L12" s="9"/>
      <c r="M12" s="6"/>
      <c r="N12" s="9"/>
      <c r="O12" s="9"/>
      <c r="P12" s="4"/>
    </row>
    <row r="13">
      <c r="D13" s="4"/>
      <c r="E13" s="9"/>
      <c r="F13" s="9"/>
      <c r="G13" s="9"/>
      <c r="H13" s="9"/>
      <c r="I13" s="9"/>
      <c r="J13" s="6">
        <v>-1400.0</v>
      </c>
      <c r="K13" s="6">
        <v>-2050.0</v>
      </c>
      <c r="L13" s="9"/>
      <c r="M13" s="6"/>
      <c r="N13" s="9"/>
      <c r="O13" s="9"/>
      <c r="P13" s="4"/>
    </row>
    <row r="14">
      <c r="D14" s="4"/>
      <c r="E14" s="9"/>
      <c r="F14" s="11"/>
      <c r="G14" s="9"/>
      <c r="H14" s="9"/>
      <c r="I14" s="9"/>
      <c r="J14" s="6">
        <v>-35840.0</v>
      </c>
      <c r="K14" s="6">
        <v>-2150.0</v>
      </c>
      <c r="L14" s="9"/>
      <c r="M14" s="9"/>
      <c r="N14" s="9"/>
      <c r="O14" s="9"/>
      <c r="P14" s="4"/>
    </row>
    <row r="15">
      <c r="D15" s="4"/>
      <c r="E15" s="9"/>
      <c r="F15" s="11"/>
      <c r="G15" s="9"/>
      <c r="H15" s="9"/>
      <c r="I15" s="9"/>
      <c r="J15" s="6">
        <v>-5000.0</v>
      </c>
      <c r="K15" s="6">
        <v>-7182.0</v>
      </c>
      <c r="L15" s="9"/>
      <c r="M15" s="9"/>
      <c r="N15" s="9"/>
      <c r="O15" s="9"/>
      <c r="P15" s="4"/>
    </row>
    <row r="16">
      <c r="D16" s="4"/>
      <c r="E16" s="9"/>
      <c r="F16" s="11"/>
      <c r="G16" s="9"/>
      <c r="H16" s="9"/>
      <c r="I16" s="9"/>
      <c r="J16" s="6">
        <v>-27330.0</v>
      </c>
      <c r="K16" s="6">
        <v>-4020.0</v>
      </c>
      <c r="L16" s="9"/>
      <c r="M16" s="9"/>
      <c r="N16" s="9"/>
      <c r="O16" s="9"/>
      <c r="P16" s="4"/>
    </row>
    <row r="17">
      <c r="D17" s="4"/>
      <c r="E17" s="9"/>
      <c r="F17" s="11"/>
      <c r="G17" s="9"/>
      <c r="H17" s="9"/>
      <c r="I17" s="9"/>
      <c r="J17" s="6">
        <v>3079.0</v>
      </c>
      <c r="K17" s="6">
        <v>-15305.0</v>
      </c>
      <c r="L17" s="9"/>
      <c r="M17" s="9"/>
      <c r="N17" s="9"/>
      <c r="O17" s="9"/>
      <c r="P17" s="4"/>
    </row>
    <row r="18">
      <c r="D18" s="4"/>
      <c r="E18" s="9"/>
      <c r="F18" s="11"/>
      <c r="G18" s="9"/>
      <c r="H18" s="9"/>
      <c r="I18" s="9"/>
      <c r="J18" s="6">
        <v>-10000.0</v>
      </c>
      <c r="K18" s="6">
        <v>-11500.0</v>
      </c>
      <c r="L18" s="9"/>
      <c r="M18" s="9"/>
      <c r="N18" s="9"/>
      <c r="O18" s="9"/>
      <c r="P18" s="4"/>
    </row>
    <row r="19">
      <c r="D19" s="4"/>
      <c r="E19" s="9"/>
      <c r="F19" s="11"/>
      <c r="G19" s="9"/>
      <c r="H19" s="9"/>
      <c r="I19" s="9"/>
      <c r="J19" s="6">
        <v>-10590.0</v>
      </c>
      <c r="K19" s="6">
        <v>-3294.0</v>
      </c>
      <c r="L19" s="9"/>
      <c r="M19" s="9"/>
      <c r="N19" s="9"/>
      <c r="O19" s="9"/>
      <c r="P19" s="4"/>
    </row>
    <row r="20">
      <c r="D20" s="4"/>
      <c r="E20" s="9"/>
      <c r="F20" s="11"/>
      <c r="G20" s="9"/>
      <c r="H20" s="9"/>
      <c r="I20" s="9"/>
      <c r="J20" s="6">
        <v>-10000.0</v>
      </c>
      <c r="K20" s="6">
        <v>300000.0</v>
      </c>
      <c r="L20" s="9"/>
      <c r="M20" s="9"/>
      <c r="N20" s="9"/>
      <c r="O20" s="9"/>
      <c r="P20" s="4"/>
    </row>
    <row r="21">
      <c r="D21" s="4"/>
      <c r="E21" s="9"/>
      <c r="F21" s="11"/>
      <c r="G21" s="9"/>
      <c r="H21" s="9"/>
      <c r="I21" s="9"/>
      <c r="J21" s="6">
        <v>-30956.0</v>
      </c>
      <c r="K21" s="6">
        <v>-188889.0</v>
      </c>
      <c r="L21" s="9"/>
      <c r="M21" s="9"/>
      <c r="N21" s="9"/>
      <c r="O21" s="9"/>
      <c r="P21" s="4"/>
    </row>
    <row r="22">
      <c r="D22" s="4"/>
      <c r="E22" s="9"/>
      <c r="F22" s="11"/>
      <c r="G22" s="9"/>
      <c r="H22" s="9"/>
      <c r="I22" s="9"/>
      <c r="J22" s="6">
        <v>-9600.0</v>
      </c>
      <c r="K22" s="9"/>
      <c r="L22" s="9"/>
      <c r="M22" s="9"/>
      <c r="N22" s="9"/>
      <c r="O22" s="9"/>
      <c r="P22" s="4"/>
    </row>
    <row r="23">
      <c r="D23" s="4"/>
      <c r="E23" s="9"/>
      <c r="F23" s="11"/>
      <c r="G23" s="9"/>
      <c r="H23" s="9"/>
      <c r="I23" s="9"/>
      <c r="J23" s="6">
        <f>100000</f>
        <v>100000</v>
      </c>
      <c r="K23" s="9"/>
      <c r="L23" s="9"/>
      <c r="M23" s="9"/>
      <c r="N23" s="9"/>
      <c r="O23" s="9"/>
      <c r="P23" s="4"/>
    </row>
    <row r="24">
      <c r="D24" s="4"/>
      <c r="E24" s="9"/>
      <c r="F24" s="11"/>
      <c r="G24" s="9"/>
      <c r="H24" s="9"/>
      <c r="I24" s="9"/>
      <c r="J24" s="6">
        <v>173332.0</v>
      </c>
      <c r="K24" s="9"/>
      <c r="L24" s="9"/>
      <c r="M24" s="9"/>
      <c r="N24" s="9"/>
      <c r="O24" s="9"/>
      <c r="P24" s="4"/>
    </row>
    <row r="25">
      <c r="D25" s="4"/>
      <c r="E25" s="9"/>
      <c r="F25" s="11"/>
      <c r="G25" s="9"/>
      <c r="H25" s="9"/>
      <c r="I25" s="9"/>
      <c r="J25" s="6">
        <v>-45772.0</v>
      </c>
      <c r="K25" s="9"/>
      <c r="L25" s="9"/>
      <c r="M25" s="9"/>
      <c r="N25" s="9"/>
      <c r="O25" s="9"/>
      <c r="P25" s="4"/>
    </row>
    <row r="26">
      <c r="D26" s="4"/>
      <c r="E26" s="9"/>
      <c r="F26" s="11"/>
      <c r="G26" s="9"/>
      <c r="H26" s="9"/>
      <c r="I26" s="9"/>
      <c r="J26" s="6">
        <v>-45772.0</v>
      </c>
      <c r="K26" s="9"/>
      <c r="L26" s="9"/>
      <c r="M26" s="9"/>
      <c r="N26" s="9"/>
      <c r="O26" s="9"/>
      <c r="P26" s="4"/>
    </row>
    <row r="27">
      <c r="D27" s="4"/>
      <c r="E27" s="9"/>
      <c r="F27" s="11"/>
      <c r="G27" s="9"/>
      <c r="H27" s="9"/>
      <c r="I27" s="9"/>
      <c r="J27" s="6">
        <v>-24713.0</v>
      </c>
      <c r="K27" s="9"/>
      <c r="L27" s="9"/>
      <c r="M27" s="9"/>
      <c r="N27" s="9"/>
      <c r="O27" s="9"/>
      <c r="P27" s="4"/>
    </row>
    <row r="28">
      <c r="D28" s="4"/>
      <c r="E28" s="9"/>
      <c r="F28" s="11"/>
      <c r="G28" s="9"/>
      <c r="H28" s="9"/>
      <c r="I28" s="9"/>
      <c r="J28" s="6">
        <v>-67434.0</v>
      </c>
      <c r="K28" s="9"/>
      <c r="L28" s="9"/>
      <c r="M28" s="9"/>
      <c r="N28" s="9"/>
      <c r="O28" s="9"/>
      <c r="P28" s="4"/>
    </row>
    <row r="29">
      <c r="D29" s="4"/>
      <c r="E29" s="9"/>
      <c r="F29" s="11"/>
      <c r="G29" s="9"/>
      <c r="H29" s="9"/>
      <c r="I29" s="9"/>
      <c r="J29" s="6">
        <v>-19994.0</v>
      </c>
      <c r="K29" s="9"/>
      <c r="L29" s="9"/>
      <c r="M29" s="9"/>
      <c r="N29" s="9"/>
      <c r="O29" s="9"/>
      <c r="P29" s="4"/>
    </row>
    <row r="30">
      <c r="D30" s="4"/>
      <c r="E30" s="9"/>
      <c r="F30" s="11"/>
      <c r="G30" s="9"/>
      <c r="H30" s="9"/>
      <c r="I30" s="9"/>
      <c r="J30" s="6">
        <v>-11000.0</v>
      </c>
      <c r="K30" s="9"/>
      <c r="L30" s="9"/>
      <c r="M30" s="9"/>
      <c r="N30" s="9"/>
      <c r="O30" s="9"/>
      <c r="P30" s="4"/>
    </row>
    <row r="31">
      <c r="D31" s="4"/>
      <c r="E31" s="9"/>
      <c r="F31" s="11"/>
      <c r="G31" s="9"/>
      <c r="H31" s="9"/>
      <c r="I31" s="9"/>
      <c r="J31" s="6">
        <v>-13430.0</v>
      </c>
      <c r="K31" s="9"/>
      <c r="L31" s="9"/>
      <c r="M31" s="9"/>
      <c r="N31" s="9"/>
      <c r="O31" s="9"/>
      <c r="P31" s="4"/>
    </row>
    <row r="32">
      <c r="D32" s="4"/>
      <c r="E32" s="9"/>
      <c r="F32" s="11"/>
      <c r="G32" s="9"/>
      <c r="H32" s="9"/>
      <c r="I32" s="9"/>
      <c r="J32" s="6">
        <v>-9997.0</v>
      </c>
      <c r="K32" s="9"/>
      <c r="L32" s="9"/>
      <c r="M32" s="9"/>
      <c r="N32" s="9"/>
      <c r="O32" s="9"/>
      <c r="P32" s="4"/>
    </row>
    <row r="33">
      <c r="D33" s="4"/>
      <c r="E33" s="9"/>
      <c r="F33" s="11"/>
      <c r="G33" s="9"/>
      <c r="H33" s="9"/>
      <c r="I33" s="9"/>
      <c r="J33" s="6">
        <v>-596.0</v>
      </c>
      <c r="K33" s="9"/>
      <c r="L33" s="9"/>
      <c r="M33" s="9"/>
      <c r="N33" s="9"/>
      <c r="O33" s="9"/>
      <c r="P33" s="4"/>
    </row>
    <row r="34">
      <c r="D34" s="4"/>
      <c r="E34" s="9"/>
      <c r="F34" s="11"/>
      <c r="G34" s="9"/>
      <c r="H34" s="9"/>
      <c r="I34" s="9"/>
      <c r="J34" s="6">
        <v>-9960.0</v>
      </c>
      <c r="K34" s="9"/>
      <c r="L34" s="9"/>
      <c r="M34" s="9"/>
      <c r="N34" s="9"/>
      <c r="O34" s="9"/>
      <c r="P34" s="4"/>
    </row>
    <row r="35">
      <c r="D35" s="4"/>
      <c r="E35" s="9"/>
      <c r="F35" s="11"/>
      <c r="G35" s="9"/>
      <c r="H35" s="9"/>
      <c r="I35" s="9"/>
      <c r="J35" s="6">
        <v>324719.0</v>
      </c>
      <c r="K35" s="9"/>
      <c r="L35" s="9"/>
      <c r="M35" s="9"/>
      <c r="N35" s="9"/>
      <c r="O35" s="9"/>
      <c r="P35" s="4"/>
    </row>
    <row r="36">
      <c r="D36" s="4"/>
      <c r="E36" s="12"/>
      <c r="F36" s="12"/>
      <c r="G36" s="12"/>
      <c r="H36" s="12"/>
      <c r="I36" s="12"/>
      <c r="J36" s="13"/>
      <c r="K36" s="12"/>
      <c r="L36" s="12"/>
      <c r="M36" s="12"/>
      <c r="N36" s="12"/>
      <c r="O36" s="12"/>
      <c r="P36" s="4"/>
    </row>
    <row r="37"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</row>
    <row r="38"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</row>
    <row r="39">
      <c r="D39" s="14" t="s">
        <v>16</v>
      </c>
      <c r="E39" s="15">
        <f t="shared" ref="E39:O39" si="1">SUM(E3:E36)</f>
        <v>0</v>
      </c>
      <c r="F39" s="15">
        <f t="shared" si="1"/>
        <v>0</v>
      </c>
      <c r="G39" s="15">
        <f t="shared" si="1"/>
        <v>1109950</v>
      </c>
      <c r="H39" s="15">
        <f t="shared" si="1"/>
        <v>0</v>
      </c>
      <c r="I39" s="15">
        <f t="shared" si="1"/>
        <v>0</v>
      </c>
      <c r="J39" s="15">
        <f t="shared" si="1"/>
        <v>483776</v>
      </c>
      <c r="K39" s="15">
        <f t="shared" si="1"/>
        <v>130207</v>
      </c>
      <c r="L39" s="15">
        <f t="shared" si="1"/>
        <v>0</v>
      </c>
      <c r="M39" s="15">
        <f t="shared" si="1"/>
        <v>300000</v>
      </c>
      <c r="N39" s="15">
        <f t="shared" si="1"/>
        <v>1040994</v>
      </c>
      <c r="O39" s="15">
        <f t="shared" si="1"/>
        <v>1825616</v>
      </c>
      <c r="P39" s="16">
        <f>SUM(E39:O39)</f>
        <v>4890543</v>
      </c>
    </row>
  </sheetData>
  <conditionalFormatting sqref="E4:O36">
    <cfRule type="cellIs" dxfId="0" priority="1" operator="lessThan">
      <formula>0</formula>
    </cfRule>
  </conditionalFormatting>
  <conditionalFormatting sqref="E4:O36">
    <cfRule type="cellIs" dxfId="1" priority="2" operator="greaterThan">
      <formula>0</formula>
    </cfRule>
  </conditionalFormatting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2.38"/>
    <col customWidth="1" min="3" max="3" width="17.88"/>
    <col customWidth="1" min="4" max="4" width="8.38"/>
    <col customWidth="1" min="7" max="7" width="15.25"/>
    <col customWidth="1" min="8" max="8" width="14.75"/>
  </cols>
  <sheetData>
    <row r="2">
      <c r="D2" s="1"/>
      <c r="E2" s="2" t="s">
        <v>0</v>
      </c>
      <c r="F2" s="2" t="s">
        <v>1</v>
      </c>
      <c r="G2" s="2" t="s">
        <v>2</v>
      </c>
      <c r="H2" s="2" t="s">
        <v>3</v>
      </c>
      <c r="I2" s="2" t="s">
        <v>4</v>
      </c>
      <c r="J2" s="2" t="s">
        <v>5</v>
      </c>
      <c r="K2" s="3" t="s">
        <v>6</v>
      </c>
      <c r="L2" s="3" t="s">
        <v>8</v>
      </c>
      <c r="M2" s="3" t="s">
        <v>9</v>
      </c>
      <c r="N2" s="3" t="s">
        <v>17</v>
      </c>
      <c r="O2" s="4"/>
    </row>
    <row r="3">
      <c r="D3" s="1"/>
      <c r="E3" s="5">
        <f>'Marzo 2026'!E39</f>
        <v>0</v>
      </c>
      <c r="F3" s="5">
        <f>'Marzo 2026'!F39</f>
        <v>0</v>
      </c>
      <c r="G3" s="5">
        <f>'Marzo 2026'!G39</f>
        <v>1109950</v>
      </c>
      <c r="H3" s="5">
        <f>'Marzo 2026'!H39</f>
        <v>0</v>
      </c>
      <c r="I3" s="5">
        <f>'Marzo 2026'!I39</f>
        <v>0</v>
      </c>
      <c r="J3" s="5">
        <f>'Marzo 2026'!J39</f>
        <v>483776</v>
      </c>
      <c r="K3" s="6">
        <f>'Marzo 2026'!K39</f>
        <v>130207</v>
      </c>
      <c r="L3" s="6">
        <f>'Marzo 2026'!M39</f>
        <v>300000</v>
      </c>
      <c r="M3" s="6">
        <f>'Marzo 2026'!N39</f>
        <v>1040994</v>
      </c>
      <c r="N3" s="6">
        <f>'Marzo 2026'!O39</f>
        <v>1825616</v>
      </c>
      <c r="O3" s="4"/>
    </row>
    <row r="4">
      <c r="B4" s="2" t="s">
        <v>12</v>
      </c>
      <c r="C4" s="2" t="s">
        <v>13</v>
      </c>
      <c r="D4" s="1"/>
      <c r="E4" s="8"/>
      <c r="F4" s="8"/>
      <c r="G4" s="5">
        <v>-22733.0</v>
      </c>
      <c r="H4" s="8"/>
      <c r="I4" s="8"/>
      <c r="J4" s="6">
        <v>-10000.0</v>
      </c>
      <c r="K4" s="6">
        <v>-40000.0</v>
      </c>
      <c r="L4" s="6">
        <v>-300000.0</v>
      </c>
      <c r="M4" s="6">
        <v>-40000.0</v>
      </c>
      <c r="N4" s="6"/>
      <c r="O4" s="4"/>
    </row>
    <row r="5">
      <c r="B5" s="10">
        <v>0.0</v>
      </c>
      <c r="C5" s="10">
        <f>B5</f>
        <v>0</v>
      </c>
      <c r="D5" s="1"/>
      <c r="E5" s="8"/>
      <c r="F5" s="8"/>
      <c r="G5" s="8"/>
      <c r="H5" s="8"/>
      <c r="I5" s="8"/>
      <c r="J5" s="6">
        <v>-2000.0</v>
      </c>
      <c r="K5" s="6">
        <v>-3657.0</v>
      </c>
      <c r="L5" s="17">
        <f>150000</f>
        <v>150000</v>
      </c>
      <c r="M5" s="6">
        <v>-63114.0</v>
      </c>
      <c r="N5" s="6"/>
      <c r="O5" s="4"/>
    </row>
    <row r="6">
      <c r="B6" s="1"/>
      <c r="C6" s="1"/>
      <c r="D6" s="1"/>
      <c r="E6" s="8"/>
      <c r="F6" s="8"/>
      <c r="G6" s="8"/>
      <c r="H6" s="8"/>
      <c r="I6" s="8"/>
      <c r="J6" s="6">
        <v>-24268.0</v>
      </c>
      <c r="K6" s="6">
        <v>-3000.0</v>
      </c>
      <c r="L6" s="18">
        <v>-150000.0</v>
      </c>
      <c r="M6" s="6">
        <v>-52008.0</v>
      </c>
      <c r="N6" s="9"/>
      <c r="O6" s="4"/>
    </row>
    <row r="7">
      <c r="B7" s="2" t="s">
        <v>14</v>
      </c>
      <c r="C7" s="2" t="s">
        <v>15</v>
      </c>
      <c r="D7" s="1"/>
      <c r="E7" s="8"/>
      <c r="F7" s="8"/>
      <c r="G7" s="8"/>
      <c r="H7" s="8"/>
      <c r="I7" s="8"/>
      <c r="J7" s="6">
        <v>-23150.0</v>
      </c>
      <c r="K7" s="6">
        <v>-25000.0</v>
      </c>
      <c r="L7" s="6">
        <f>300000</f>
        <v>300000</v>
      </c>
      <c r="M7" s="6">
        <v>-1600.0</v>
      </c>
      <c r="N7" s="6"/>
      <c r="O7" s="4"/>
    </row>
    <row r="8">
      <c r="B8" s="10">
        <f>SUMIF(E3:N31,"&lt;0")*-1</f>
        <v>1431294</v>
      </c>
      <c r="C8" s="10">
        <f>SUMIF(J3:J31,"&lt;0")*-1</f>
        <v>126425</v>
      </c>
      <c r="D8" s="1"/>
      <c r="E8" s="8"/>
      <c r="F8" s="8"/>
      <c r="G8" s="8"/>
      <c r="H8" s="8"/>
      <c r="I8" s="8"/>
      <c r="J8" s="6">
        <v>-10000.0</v>
      </c>
      <c r="K8" s="6">
        <v>-3000.0</v>
      </c>
      <c r="L8" s="6">
        <v>-300000.0</v>
      </c>
      <c r="M8" s="9"/>
      <c r="N8" s="9"/>
      <c r="O8" s="4"/>
    </row>
    <row r="9">
      <c r="D9" s="1"/>
      <c r="E9" s="8"/>
      <c r="F9" s="8"/>
      <c r="G9" s="8"/>
      <c r="H9" s="8"/>
      <c r="I9" s="8"/>
      <c r="J9" s="6">
        <v>-15000.0</v>
      </c>
      <c r="K9" s="6">
        <v>-10040.0</v>
      </c>
      <c r="L9" s="6"/>
      <c r="M9" s="9"/>
      <c r="N9" s="9"/>
      <c r="O9" s="4"/>
    </row>
    <row r="10">
      <c r="D10" s="4"/>
      <c r="E10" s="9"/>
      <c r="F10" s="9"/>
      <c r="G10" s="9"/>
      <c r="H10" s="9"/>
      <c r="I10" s="9"/>
      <c r="J10" s="6">
        <v>-10000.0</v>
      </c>
      <c r="K10" s="6">
        <v>-2470.0</v>
      </c>
      <c r="L10" s="6"/>
      <c r="M10" s="9"/>
      <c r="N10" s="9"/>
      <c r="O10" s="4"/>
    </row>
    <row r="11">
      <c r="D11" s="4"/>
      <c r="E11" s="9"/>
      <c r="F11" s="9"/>
      <c r="G11" s="9"/>
      <c r="H11" s="9"/>
      <c r="I11" s="9"/>
      <c r="J11" s="6">
        <v>-9027.0</v>
      </c>
      <c r="K11" s="6">
        <v>-2000.0</v>
      </c>
      <c r="L11" s="6"/>
      <c r="M11" s="9"/>
      <c r="N11" s="9"/>
      <c r="O11" s="4"/>
    </row>
    <row r="12">
      <c r="D12" s="4"/>
      <c r="E12" s="9"/>
      <c r="F12" s="9"/>
      <c r="G12" s="9"/>
      <c r="H12" s="9"/>
      <c r="I12" s="9"/>
      <c r="J12" s="6">
        <v>-10000.0</v>
      </c>
      <c r="K12" s="6">
        <v>-2239.0</v>
      </c>
      <c r="L12" s="6"/>
      <c r="M12" s="9"/>
      <c r="N12" s="9"/>
      <c r="O12" s="4"/>
    </row>
    <row r="13">
      <c r="D13" s="4"/>
      <c r="E13" s="9"/>
      <c r="F13" s="9"/>
      <c r="G13" s="9"/>
      <c r="H13" s="9"/>
      <c r="I13" s="9"/>
      <c r="J13" s="6">
        <v>-10280.0</v>
      </c>
      <c r="K13" s="6">
        <v>-3596.0</v>
      </c>
      <c r="L13" s="6"/>
      <c r="M13" s="9"/>
      <c r="N13" s="9"/>
      <c r="O13" s="4"/>
    </row>
    <row r="14">
      <c r="D14" s="4"/>
      <c r="E14" s="9"/>
      <c r="F14" s="11"/>
      <c r="G14" s="9"/>
      <c r="H14" s="9"/>
      <c r="I14" s="9"/>
      <c r="J14" s="6">
        <v>-2700.0</v>
      </c>
      <c r="K14" s="6">
        <v>-3574.0</v>
      </c>
      <c r="L14" s="9"/>
      <c r="M14" s="9"/>
      <c r="N14" s="9"/>
      <c r="O14" s="4"/>
    </row>
    <row r="15">
      <c r="D15" s="4"/>
      <c r="E15" s="9"/>
      <c r="F15" s="11"/>
      <c r="G15" s="9"/>
      <c r="H15" s="9"/>
      <c r="I15" s="9"/>
      <c r="J15" s="6"/>
      <c r="K15" s="6">
        <v>-3070.0</v>
      </c>
      <c r="L15" s="9"/>
      <c r="M15" s="9"/>
      <c r="N15" s="9"/>
      <c r="O15" s="4"/>
    </row>
    <row r="16">
      <c r="D16" s="4"/>
      <c r="E16" s="9"/>
      <c r="F16" s="11"/>
      <c r="G16" s="9"/>
      <c r="H16" s="9"/>
      <c r="I16" s="9"/>
      <c r="J16" s="6"/>
      <c r="K16" s="6">
        <v>-10130.0</v>
      </c>
      <c r="L16" s="9"/>
      <c r="M16" s="9"/>
      <c r="N16" s="9"/>
      <c r="O16" s="4"/>
    </row>
    <row r="17">
      <c r="D17" s="4"/>
      <c r="E17" s="9"/>
      <c r="F17" s="11"/>
      <c r="G17" s="9"/>
      <c r="H17" s="9"/>
      <c r="I17" s="9"/>
      <c r="J17" s="6"/>
      <c r="K17" s="6">
        <v>-8000.0</v>
      </c>
      <c r="L17" s="9"/>
      <c r="M17" s="9"/>
      <c r="N17" s="9"/>
      <c r="O17" s="4"/>
    </row>
    <row r="18">
      <c r="D18" s="4"/>
      <c r="E18" s="9"/>
      <c r="F18" s="11"/>
      <c r="G18" s="9"/>
      <c r="H18" s="9"/>
      <c r="I18" s="9"/>
      <c r="J18" s="6"/>
      <c r="K18" s="6">
        <v>-16630.0</v>
      </c>
      <c r="L18" s="9"/>
      <c r="M18" s="9"/>
      <c r="N18" s="9"/>
      <c r="O18" s="4"/>
    </row>
    <row r="19">
      <c r="D19" s="4"/>
      <c r="E19" s="9"/>
      <c r="F19" s="11"/>
      <c r="G19" s="9"/>
      <c r="H19" s="9"/>
      <c r="I19" s="9"/>
      <c r="J19" s="6"/>
      <c r="K19" s="6">
        <v>-13890.0</v>
      </c>
      <c r="L19" s="9"/>
      <c r="M19" s="9"/>
      <c r="N19" s="9"/>
      <c r="O19" s="4"/>
    </row>
    <row r="20">
      <c r="D20" s="4"/>
      <c r="E20" s="9"/>
      <c r="F20" s="11"/>
      <c r="G20" s="9"/>
      <c r="H20" s="9"/>
      <c r="I20" s="9"/>
      <c r="J20" s="6"/>
      <c r="K20" s="6">
        <f>350000</f>
        <v>350000</v>
      </c>
      <c r="L20" s="9"/>
      <c r="M20" s="9"/>
      <c r="N20" s="9"/>
      <c r="O20" s="4"/>
    </row>
    <row r="21">
      <c r="D21" s="4"/>
      <c r="E21" s="9"/>
      <c r="F21" s="11"/>
      <c r="G21" s="9"/>
      <c r="H21" s="9"/>
      <c r="I21" s="9"/>
      <c r="J21" s="6"/>
      <c r="K21" s="6">
        <v>-165118.0</v>
      </c>
      <c r="L21" s="9"/>
      <c r="M21" s="9"/>
      <c r="N21" s="9"/>
      <c r="O21" s="4"/>
    </row>
    <row r="22">
      <c r="D22" s="4"/>
      <c r="E22" s="9"/>
      <c r="F22" s="11"/>
      <c r="G22" s="9"/>
      <c r="H22" s="9"/>
      <c r="I22" s="9"/>
      <c r="J22" s="6"/>
      <c r="K22" s="6">
        <v>-60000.0</v>
      </c>
      <c r="L22" s="9"/>
      <c r="M22" s="9"/>
      <c r="N22" s="9"/>
      <c r="O22" s="4"/>
    </row>
    <row r="23">
      <c r="D23" s="4"/>
      <c r="E23" s="9"/>
      <c r="F23" s="11"/>
      <c r="G23" s="9"/>
      <c r="H23" s="9"/>
      <c r="I23" s="9"/>
      <c r="J23" s="6"/>
      <c r="K23" s="9"/>
      <c r="L23" s="9"/>
      <c r="M23" s="9"/>
      <c r="N23" s="9"/>
      <c r="O23" s="4"/>
    </row>
    <row r="24">
      <c r="D24" s="4"/>
      <c r="E24" s="9"/>
      <c r="F24" s="11"/>
      <c r="G24" s="9"/>
      <c r="H24" s="9"/>
      <c r="I24" s="9"/>
      <c r="J24" s="6"/>
      <c r="K24" s="9"/>
      <c r="L24" s="9"/>
      <c r="M24" s="9"/>
      <c r="N24" s="9"/>
      <c r="O24" s="4"/>
    </row>
    <row r="25">
      <c r="D25" s="4"/>
      <c r="E25" s="9"/>
      <c r="F25" s="11"/>
      <c r="G25" s="9"/>
      <c r="H25" s="9"/>
      <c r="I25" s="9"/>
      <c r="J25" s="6"/>
      <c r="K25" s="9"/>
      <c r="L25" s="9"/>
      <c r="M25" s="9"/>
      <c r="N25" s="9"/>
      <c r="O25" s="4"/>
    </row>
    <row r="26">
      <c r="D26" s="4"/>
      <c r="E26" s="9"/>
      <c r="F26" s="11"/>
      <c r="G26" s="9"/>
      <c r="H26" s="9"/>
      <c r="I26" s="9"/>
      <c r="J26" s="6"/>
      <c r="K26" s="9"/>
      <c r="L26" s="9"/>
      <c r="M26" s="9"/>
      <c r="N26" s="9"/>
      <c r="O26" s="4"/>
    </row>
    <row r="27">
      <c r="D27" s="4"/>
      <c r="E27" s="9"/>
      <c r="F27" s="11"/>
      <c r="G27" s="9"/>
      <c r="H27" s="9"/>
      <c r="I27" s="9"/>
      <c r="J27" s="6"/>
      <c r="K27" s="9"/>
      <c r="L27" s="9"/>
      <c r="M27" s="9"/>
      <c r="N27" s="9"/>
      <c r="O27" s="4"/>
    </row>
    <row r="28">
      <c r="D28" s="4"/>
      <c r="E28" s="9"/>
      <c r="F28" s="11"/>
      <c r="G28" s="9"/>
      <c r="H28" s="9"/>
      <c r="I28" s="9"/>
      <c r="J28" s="6"/>
      <c r="K28" s="9"/>
      <c r="L28" s="9"/>
      <c r="M28" s="9"/>
      <c r="N28" s="9"/>
      <c r="O28" s="4"/>
    </row>
    <row r="29">
      <c r="D29" s="4"/>
      <c r="E29" s="9"/>
      <c r="F29" s="11"/>
      <c r="G29" s="9"/>
      <c r="H29" s="9"/>
      <c r="I29" s="9"/>
      <c r="J29" s="6"/>
      <c r="K29" s="9"/>
      <c r="L29" s="9"/>
      <c r="M29" s="9"/>
      <c r="N29" s="9"/>
      <c r="O29" s="4"/>
    </row>
    <row r="30">
      <c r="D30" s="4"/>
      <c r="E30" s="9"/>
      <c r="F30" s="11"/>
      <c r="G30" s="9"/>
      <c r="H30" s="9"/>
      <c r="I30" s="9"/>
      <c r="J30" s="6"/>
      <c r="K30" s="9"/>
      <c r="L30" s="9"/>
      <c r="M30" s="9"/>
      <c r="N30" s="9"/>
      <c r="O30" s="4"/>
    </row>
    <row r="31">
      <c r="D31" s="4"/>
      <c r="E31" s="12"/>
      <c r="F31" s="12"/>
      <c r="G31" s="12"/>
      <c r="H31" s="12"/>
      <c r="I31" s="12"/>
      <c r="J31" s="13"/>
      <c r="K31" s="12"/>
      <c r="L31" s="12"/>
      <c r="M31" s="12"/>
      <c r="N31" s="12"/>
      <c r="O31" s="4"/>
    </row>
    <row r="32"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</row>
    <row r="33"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</row>
    <row r="34">
      <c r="D34" s="14" t="s">
        <v>16</v>
      </c>
      <c r="E34" s="15">
        <f t="shared" ref="E34:N34" si="1">SUM(E3:E31)</f>
        <v>0</v>
      </c>
      <c r="F34" s="15">
        <f t="shared" si="1"/>
        <v>0</v>
      </c>
      <c r="G34" s="15">
        <f t="shared" si="1"/>
        <v>1087217</v>
      </c>
      <c r="H34" s="15">
        <f t="shared" si="1"/>
        <v>0</v>
      </c>
      <c r="I34" s="15">
        <f t="shared" si="1"/>
        <v>0</v>
      </c>
      <c r="J34" s="15">
        <f t="shared" si="1"/>
        <v>357351</v>
      </c>
      <c r="K34" s="15">
        <f t="shared" si="1"/>
        <v>104793</v>
      </c>
      <c r="L34" s="15">
        <f t="shared" si="1"/>
        <v>0</v>
      </c>
      <c r="M34" s="15">
        <f t="shared" si="1"/>
        <v>884272</v>
      </c>
      <c r="N34" s="15">
        <f t="shared" si="1"/>
        <v>1825616</v>
      </c>
      <c r="O34" s="16">
        <f>SUM(E34:N34)</f>
        <v>4259249</v>
      </c>
    </row>
  </sheetData>
  <conditionalFormatting sqref="E4:N31">
    <cfRule type="cellIs" dxfId="0" priority="1" operator="lessThan">
      <formula>0</formula>
    </cfRule>
  </conditionalFormatting>
  <conditionalFormatting sqref="E4:N31">
    <cfRule type="cellIs" dxfId="1" priority="2" operator="greaterThan">
      <formula>0</formula>
    </cfRule>
  </conditionalFormatting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2.38"/>
    <col customWidth="1" min="3" max="3" width="17.88"/>
    <col customWidth="1" min="4" max="4" width="8.38"/>
    <col customWidth="1" min="7" max="7" width="15.25"/>
    <col customWidth="1" min="8" max="8" width="14.75"/>
  </cols>
  <sheetData>
    <row r="2">
      <c r="D2" s="1"/>
      <c r="E2" s="2" t="s">
        <v>0</v>
      </c>
      <c r="F2" s="2" t="s">
        <v>1</v>
      </c>
      <c r="G2" s="2" t="s">
        <v>2</v>
      </c>
      <c r="H2" s="2" t="s">
        <v>3</v>
      </c>
      <c r="I2" s="2" t="s">
        <v>4</v>
      </c>
      <c r="J2" s="2" t="s">
        <v>5</v>
      </c>
      <c r="K2" s="2" t="s">
        <v>18</v>
      </c>
      <c r="L2" s="3" t="s">
        <v>6</v>
      </c>
      <c r="M2" s="3" t="s">
        <v>8</v>
      </c>
      <c r="N2" s="3" t="s">
        <v>9</v>
      </c>
      <c r="O2" s="3" t="s">
        <v>17</v>
      </c>
      <c r="P2" s="4"/>
    </row>
    <row r="3">
      <c r="D3" s="1"/>
      <c r="E3" s="5">
        <f>'Abril 2026'!E34</f>
        <v>0</v>
      </c>
      <c r="F3" s="5">
        <f>'Abril 2026'!F34</f>
        <v>0</v>
      </c>
      <c r="G3" s="5">
        <f>'Abril 2026'!G34</f>
        <v>1087217</v>
      </c>
      <c r="H3" s="5">
        <f>'Abril 2026'!H34</f>
        <v>0</v>
      </c>
      <c r="I3" s="5">
        <f>'Abril 2026'!I34</f>
        <v>0</v>
      </c>
      <c r="J3" s="5">
        <f>'Abril 2026'!J34</f>
        <v>357351</v>
      </c>
      <c r="K3" s="5">
        <v>0.0</v>
      </c>
      <c r="L3" s="6">
        <f>'Abril 2026'!K34</f>
        <v>104793</v>
      </c>
      <c r="M3" s="6">
        <f>'Abril 2026'!L34</f>
        <v>0</v>
      </c>
      <c r="N3" s="6">
        <f>'Abril 2026'!M34</f>
        <v>884272</v>
      </c>
      <c r="O3" s="6">
        <f>'Abril 2026'!N34</f>
        <v>1825616</v>
      </c>
      <c r="P3" s="4"/>
    </row>
    <row r="4">
      <c r="B4" s="2" t="s">
        <v>12</v>
      </c>
      <c r="C4" s="2" t="s">
        <v>13</v>
      </c>
      <c r="D4" s="1"/>
      <c r="E4" s="8"/>
      <c r="F4" s="8"/>
      <c r="G4" s="5">
        <v>-22923.0</v>
      </c>
      <c r="H4" s="8"/>
      <c r="I4" s="8"/>
      <c r="J4" s="6">
        <v>-91748.0</v>
      </c>
      <c r="K4" s="6">
        <v>-24608.0</v>
      </c>
      <c r="L4" s="6">
        <v>-2040.0</v>
      </c>
      <c r="M4" s="6">
        <f>150000</f>
        <v>150000</v>
      </c>
      <c r="N4" s="6"/>
      <c r="O4" s="6">
        <f>219643</f>
        <v>219643</v>
      </c>
      <c r="P4" s="4"/>
    </row>
    <row r="5">
      <c r="B5" s="10">
        <v>0.0</v>
      </c>
      <c r="C5" s="10">
        <f>B5</f>
        <v>0</v>
      </c>
      <c r="D5" s="1"/>
      <c r="E5" s="8"/>
      <c r="F5" s="8"/>
      <c r="G5" s="8"/>
      <c r="H5" s="8"/>
      <c r="I5" s="8"/>
      <c r="J5" s="6">
        <v>-9027.0</v>
      </c>
      <c r="K5" s="6">
        <v>-15090.0</v>
      </c>
      <c r="L5" s="6">
        <v>-25938.0</v>
      </c>
      <c r="M5" s="18">
        <v>-150000.0</v>
      </c>
      <c r="N5" s="6"/>
      <c r="O5" s="6"/>
      <c r="P5" s="4"/>
    </row>
    <row r="6">
      <c r="B6" s="19"/>
      <c r="C6" s="19"/>
      <c r="D6" s="1"/>
      <c r="E6" s="8"/>
      <c r="F6" s="8"/>
      <c r="G6" s="8"/>
      <c r="H6" s="8"/>
      <c r="I6" s="8"/>
      <c r="J6" s="6">
        <v>-10100.0</v>
      </c>
      <c r="K6" s="6"/>
      <c r="L6" s="6">
        <v>-30016.0</v>
      </c>
      <c r="M6" s="18">
        <v>-40000.0</v>
      </c>
      <c r="N6" s="6"/>
      <c r="O6" s="6"/>
      <c r="P6" s="4"/>
    </row>
    <row r="7">
      <c r="B7" s="1"/>
      <c r="C7" s="1"/>
      <c r="D7" s="1"/>
      <c r="E7" s="8"/>
      <c r="F7" s="8"/>
      <c r="G7" s="8"/>
      <c r="H7" s="8"/>
      <c r="I7" s="8"/>
      <c r="J7" s="6">
        <v>142381.0</v>
      </c>
      <c r="K7" s="6"/>
      <c r="L7" s="6">
        <v>-2794.0</v>
      </c>
      <c r="M7" s="18">
        <f>300000</f>
        <v>300000</v>
      </c>
      <c r="N7" s="6"/>
      <c r="O7" s="9"/>
      <c r="P7" s="4"/>
    </row>
    <row r="8">
      <c r="B8" s="2" t="s">
        <v>14</v>
      </c>
      <c r="C8" s="2" t="s">
        <v>15</v>
      </c>
      <c r="D8" s="1"/>
      <c r="E8" s="8"/>
      <c r="F8" s="8"/>
      <c r="G8" s="8"/>
      <c r="H8" s="8"/>
      <c r="I8" s="8"/>
      <c r="J8" s="6">
        <v>124953.0</v>
      </c>
      <c r="K8" s="6"/>
      <c r="L8" s="6">
        <v>-33242.0</v>
      </c>
      <c r="M8" s="6"/>
      <c r="N8" s="6"/>
      <c r="O8" s="6"/>
      <c r="P8" s="4"/>
    </row>
    <row r="9">
      <c r="B9" s="10">
        <f>SUMIF(E3:O34,"&lt;0")*-1</f>
        <v>900207</v>
      </c>
      <c r="C9" s="10">
        <f>SUMIF(J3:J34,"&lt;0")*-1</f>
        <v>528543</v>
      </c>
      <c r="D9" s="1"/>
      <c r="E9" s="8"/>
      <c r="F9" s="8"/>
      <c r="G9" s="8"/>
      <c r="H9" s="8"/>
      <c r="I9" s="8"/>
      <c r="J9" s="6">
        <v>-22886.0</v>
      </c>
      <c r="K9" s="6"/>
      <c r="L9" s="6">
        <v>-2957.0</v>
      </c>
      <c r="M9" s="6"/>
      <c r="N9" s="9"/>
      <c r="O9" s="9"/>
      <c r="P9" s="4"/>
    </row>
    <row r="10">
      <c r="D10" s="1"/>
      <c r="E10" s="8"/>
      <c r="F10" s="8"/>
      <c r="G10" s="8"/>
      <c r="H10" s="8"/>
      <c r="I10" s="8"/>
      <c r="J10" s="6">
        <v>-22886.0</v>
      </c>
      <c r="K10" s="6"/>
      <c r="L10" s="6">
        <v>-3609.0</v>
      </c>
      <c r="M10" s="6"/>
      <c r="N10" s="9"/>
      <c r="O10" s="9"/>
      <c r="P10" s="4"/>
    </row>
    <row r="11">
      <c r="D11" s="4"/>
      <c r="E11" s="9"/>
      <c r="F11" s="9"/>
      <c r="G11" s="9"/>
      <c r="H11" s="9"/>
      <c r="I11" s="9"/>
      <c r="J11" s="6">
        <v>-24713.0</v>
      </c>
      <c r="K11" s="6"/>
      <c r="L11" s="6">
        <v>-4197.0</v>
      </c>
      <c r="M11" s="6"/>
      <c r="N11" s="9"/>
      <c r="O11" s="9"/>
      <c r="P11" s="4"/>
    </row>
    <row r="12">
      <c r="D12" s="4"/>
      <c r="E12" s="9"/>
      <c r="F12" s="9"/>
      <c r="G12" s="9"/>
      <c r="H12" s="9"/>
      <c r="I12" s="9"/>
      <c r="J12" s="6">
        <v>-25733.0</v>
      </c>
      <c r="K12" s="6"/>
      <c r="L12" s="6">
        <v>-10480.0</v>
      </c>
      <c r="M12" s="6"/>
      <c r="N12" s="9"/>
      <c r="O12" s="9"/>
      <c r="P12" s="4"/>
    </row>
    <row r="13">
      <c r="D13" s="4"/>
      <c r="E13" s="9"/>
      <c r="F13" s="9"/>
      <c r="G13" s="9"/>
      <c r="H13" s="9"/>
      <c r="I13" s="9"/>
      <c r="J13" s="6">
        <v>-73800.0</v>
      </c>
      <c r="K13" s="6"/>
      <c r="L13" s="6">
        <v>300000.0</v>
      </c>
      <c r="M13" s="6"/>
      <c r="N13" s="9"/>
      <c r="O13" s="9"/>
      <c r="P13" s="4"/>
    </row>
    <row r="14">
      <c r="D14" s="4"/>
      <c r="E14" s="9"/>
      <c r="F14" s="9"/>
      <c r="G14" s="9"/>
      <c r="H14" s="9"/>
      <c r="I14" s="9"/>
      <c r="J14" s="6">
        <v>-13430.0</v>
      </c>
      <c r="K14" s="6"/>
      <c r="L14" s="6">
        <v>-3770.0</v>
      </c>
      <c r="M14" s="6"/>
      <c r="N14" s="9"/>
      <c r="O14" s="9"/>
      <c r="P14" s="4"/>
    </row>
    <row r="15">
      <c r="D15" s="4"/>
      <c r="E15" s="9"/>
      <c r="F15" s="11"/>
      <c r="G15" s="9"/>
      <c r="H15" s="9"/>
      <c r="I15" s="9"/>
      <c r="J15" s="6">
        <v>-78149.0</v>
      </c>
      <c r="K15" s="6"/>
      <c r="L15" s="6"/>
      <c r="M15" s="9"/>
      <c r="N15" s="9"/>
      <c r="O15" s="9"/>
      <c r="P15" s="4"/>
    </row>
    <row r="16">
      <c r="D16" s="4"/>
      <c r="E16" s="9"/>
      <c r="F16" s="11"/>
      <c r="G16" s="9"/>
      <c r="H16" s="9"/>
      <c r="I16" s="9"/>
      <c r="J16" s="6">
        <v>-9997.0</v>
      </c>
      <c r="K16" s="6"/>
      <c r="L16" s="6"/>
      <c r="M16" s="9"/>
      <c r="N16" s="9"/>
      <c r="O16" s="9"/>
      <c r="P16" s="4"/>
    </row>
    <row r="17">
      <c r="D17" s="4"/>
      <c r="E17" s="9"/>
      <c r="F17" s="11"/>
      <c r="G17" s="9"/>
      <c r="H17" s="9"/>
      <c r="I17" s="9"/>
      <c r="J17" s="6">
        <v>-16663.0</v>
      </c>
      <c r="K17" s="6"/>
      <c r="L17" s="6"/>
      <c r="M17" s="9"/>
      <c r="N17" s="9"/>
      <c r="O17" s="9"/>
      <c r="P17" s="4"/>
    </row>
    <row r="18">
      <c r="D18" s="4"/>
      <c r="E18" s="9"/>
      <c r="F18" s="11"/>
      <c r="G18" s="9"/>
      <c r="H18" s="9"/>
      <c r="I18" s="9"/>
      <c r="J18" s="6">
        <v>-248.0</v>
      </c>
      <c r="K18" s="6"/>
      <c r="L18" s="6"/>
      <c r="M18" s="9"/>
      <c r="N18" s="9"/>
      <c r="O18" s="9"/>
      <c r="P18" s="4"/>
    </row>
    <row r="19">
      <c r="D19" s="4"/>
      <c r="E19" s="9"/>
      <c r="F19" s="11"/>
      <c r="G19" s="9"/>
      <c r="H19" s="9"/>
      <c r="I19" s="9"/>
      <c r="J19" s="6">
        <v>-10003.0</v>
      </c>
      <c r="K19" s="6"/>
      <c r="L19" s="6"/>
      <c r="M19" s="9"/>
      <c r="N19" s="9"/>
      <c r="O19" s="9"/>
      <c r="P19" s="4"/>
    </row>
    <row r="20">
      <c r="D20" s="4"/>
      <c r="E20" s="9"/>
      <c r="F20" s="11"/>
      <c r="G20" s="9"/>
      <c r="H20" s="9"/>
      <c r="I20" s="9"/>
      <c r="J20" s="6">
        <v>-10000.0</v>
      </c>
      <c r="K20" s="6"/>
      <c r="L20" s="6"/>
      <c r="M20" s="9"/>
      <c r="N20" s="9"/>
      <c r="O20" s="9"/>
      <c r="P20" s="4"/>
    </row>
    <row r="21">
      <c r="D21" s="4"/>
      <c r="E21" s="9"/>
      <c r="F21" s="11"/>
      <c r="G21" s="9"/>
      <c r="H21" s="9"/>
      <c r="I21" s="9"/>
      <c r="J21" s="6">
        <v>-10000.0</v>
      </c>
      <c r="K21" s="6"/>
      <c r="L21" s="6"/>
      <c r="M21" s="9"/>
      <c r="N21" s="9"/>
      <c r="O21" s="9"/>
      <c r="P21" s="4"/>
    </row>
    <row r="22">
      <c r="D22" s="4"/>
      <c r="E22" s="9"/>
      <c r="F22" s="11"/>
      <c r="G22" s="9"/>
      <c r="H22" s="9"/>
      <c r="I22" s="9"/>
      <c r="J22" s="6">
        <v>-13394.0</v>
      </c>
      <c r="K22" s="6"/>
      <c r="L22" s="6"/>
      <c r="M22" s="9"/>
      <c r="N22" s="9"/>
      <c r="O22" s="9"/>
      <c r="P22" s="4"/>
    </row>
    <row r="23">
      <c r="D23" s="4"/>
      <c r="E23" s="9"/>
      <c r="F23" s="11"/>
      <c r="G23" s="9"/>
      <c r="H23" s="9"/>
      <c r="I23" s="9"/>
      <c r="J23" s="6">
        <f>2441</f>
        <v>2441</v>
      </c>
      <c r="K23" s="6"/>
      <c r="L23" s="6"/>
      <c r="M23" s="9"/>
      <c r="N23" s="9"/>
      <c r="O23" s="9"/>
      <c r="P23" s="4"/>
    </row>
    <row r="24">
      <c r="D24" s="4"/>
      <c r="E24" s="9"/>
      <c r="F24" s="11"/>
      <c r="G24" s="9"/>
      <c r="H24" s="9"/>
      <c r="I24" s="9"/>
      <c r="J24" s="6">
        <v>-10000.0</v>
      </c>
      <c r="K24" s="6"/>
      <c r="L24" s="9"/>
      <c r="M24" s="9"/>
      <c r="N24" s="9"/>
      <c r="O24" s="9"/>
      <c r="P24" s="4"/>
    </row>
    <row r="25">
      <c r="D25" s="4"/>
      <c r="E25" s="9"/>
      <c r="F25" s="11"/>
      <c r="G25" s="9"/>
      <c r="H25" s="9"/>
      <c r="I25" s="9"/>
      <c r="J25" s="6">
        <v>-10000.0</v>
      </c>
      <c r="K25" s="6"/>
      <c r="L25" s="9"/>
      <c r="M25" s="9"/>
      <c r="N25" s="9"/>
      <c r="O25" s="9"/>
      <c r="P25" s="4"/>
    </row>
    <row r="26">
      <c r="D26" s="4"/>
      <c r="E26" s="9"/>
      <c r="F26" s="11"/>
      <c r="G26" s="9"/>
      <c r="H26" s="9"/>
      <c r="I26" s="9"/>
      <c r="J26" s="6">
        <v>-5700.0</v>
      </c>
      <c r="K26" s="6"/>
      <c r="L26" s="9"/>
      <c r="M26" s="9"/>
      <c r="N26" s="9"/>
      <c r="O26" s="9"/>
      <c r="P26" s="4"/>
    </row>
    <row r="27">
      <c r="D27" s="4"/>
      <c r="E27" s="9"/>
      <c r="F27" s="11"/>
      <c r="G27" s="9"/>
      <c r="H27" s="9"/>
      <c r="I27" s="9"/>
      <c r="J27" s="6">
        <v>-10000.0</v>
      </c>
      <c r="K27" s="6"/>
      <c r="L27" s="9"/>
      <c r="M27" s="9"/>
      <c r="N27" s="9"/>
      <c r="O27" s="9"/>
      <c r="P27" s="4"/>
    </row>
    <row r="28">
      <c r="D28" s="4"/>
      <c r="E28" s="9"/>
      <c r="F28" s="11"/>
      <c r="G28" s="9"/>
      <c r="H28" s="9"/>
      <c r="I28" s="9"/>
      <c r="J28" s="6">
        <v>-20000.0</v>
      </c>
      <c r="K28" s="6"/>
      <c r="L28" s="9"/>
      <c r="M28" s="9"/>
      <c r="N28" s="9"/>
      <c r="O28" s="9"/>
      <c r="P28" s="4"/>
    </row>
    <row r="29">
      <c r="D29" s="4"/>
      <c r="E29" s="9"/>
      <c r="F29" s="11"/>
      <c r="G29" s="9"/>
      <c r="H29" s="9"/>
      <c r="I29" s="9"/>
      <c r="J29" s="6">
        <v>-30066.0</v>
      </c>
      <c r="K29" s="6"/>
      <c r="L29" s="9"/>
      <c r="M29" s="9"/>
      <c r="N29" s="9"/>
      <c r="O29" s="9"/>
      <c r="P29" s="4"/>
    </row>
    <row r="30">
      <c r="D30" s="4"/>
      <c r="E30" s="9"/>
      <c r="F30" s="11"/>
      <c r="G30" s="9"/>
      <c r="H30" s="9"/>
      <c r="I30" s="9"/>
      <c r="J30" s="6">
        <v>131332.0</v>
      </c>
      <c r="K30" s="6"/>
      <c r="L30" s="9"/>
      <c r="M30" s="9"/>
      <c r="N30" s="9"/>
      <c r="O30" s="9"/>
      <c r="P30" s="4"/>
    </row>
    <row r="31">
      <c r="D31" s="4"/>
      <c r="E31" s="9"/>
      <c r="F31" s="11"/>
      <c r="G31" s="9"/>
      <c r="H31" s="9"/>
      <c r="I31" s="9"/>
      <c r="J31" s="6"/>
      <c r="K31" s="6"/>
      <c r="L31" s="9"/>
      <c r="M31" s="9"/>
      <c r="N31" s="9"/>
      <c r="O31" s="9"/>
      <c r="P31" s="4"/>
    </row>
    <row r="32">
      <c r="D32" s="4"/>
      <c r="E32" s="9"/>
      <c r="F32" s="11"/>
      <c r="G32" s="9"/>
      <c r="H32" s="9"/>
      <c r="I32" s="9"/>
      <c r="J32" s="6"/>
      <c r="K32" s="6"/>
      <c r="L32" s="9"/>
      <c r="M32" s="9"/>
      <c r="N32" s="9"/>
      <c r="O32" s="9"/>
      <c r="P32" s="4"/>
    </row>
    <row r="33">
      <c r="D33" s="4"/>
      <c r="E33" s="9"/>
      <c r="F33" s="11"/>
      <c r="G33" s="9"/>
      <c r="H33" s="9"/>
      <c r="I33" s="9"/>
      <c r="J33" s="6"/>
      <c r="K33" s="6"/>
      <c r="L33" s="9"/>
      <c r="M33" s="9"/>
      <c r="N33" s="9"/>
      <c r="O33" s="9"/>
      <c r="P33" s="4"/>
    </row>
    <row r="34">
      <c r="D34" s="4"/>
      <c r="E34" s="12"/>
      <c r="F34" s="12"/>
      <c r="G34" s="12"/>
      <c r="H34" s="12"/>
      <c r="I34" s="12"/>
      <c r="J34" s="13"/>
      <c r="K34" s="13"/>
      <c r="L34" s="12"/>
      <c r="M34" s="12"/>
      <c r="N34" s="12"/>
      <c r="O34" s="12"/>
      <c r="P34" s="4"/>
    </row>
    <row r="35"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</row>
    <row r="36"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</row>
    <row r="37">
      <c r="D37" s="14" t="s">
        <v>16</v>
      </c>
      <c r="E37" s="15">
        <f t="shared" ref="E37:O37" si="1">SUM(E3:E34)</f>
        <v>0</v>
      </c>
      <c r="F37" s="15">
        <f t="shared" si="1"/>
        <v>0</v>
      </c>
      <c r="G37" s="15">
        <f t="shared" si="1"/>
        <v>1064294</v>
      </c>
      <c r="H37" s="15">
        <f t="shared" si="1"/>
        <v>0</v>
      </c>
      <c r="I37" s="15">
        <f t="shared" si="1"/>
        <v>0</v>
      </c>
      <c r="J37" s="15">
        <f t="shared" si="1"/>
        <v>229915</v>
      </c>
      <c r="K37" s="15">
        <f t="shared" si="1"/>
        <v>-39698</v>
      </c>
      <c r="L37" s="15">
        <f t="shared" si="1"/>
        <v>285750</v>
      </c>
      <c r="M37" s="15">
        <f t="shared" si="1"/>
        <v>260000</v>
      </c>
      <c r="N37" s="15">
        <f t="shared" si="1"/>
        <v>884272</v>
      </c>
      <c r="O37" s="15">
        <f t="shared" si="1"/>
        <v>2045259</v>
      </c>
      <c r="P37" s="16">
        <f>SUM(E37:O37)</f>
        <v>4729792</v>
      </c>
    </row>
  </sheetData>
  <conditionalFormatting sqref="E4:O34">
    <cfRule type="cellIs" dxfId="0" priority="1" operator="lessThan">
      <formula>0</formula>
    </cfRule>
  </conditionalFormatting>
  <conditionalFormatting sqref="E4:O34">
    <cfRule type="cellIs" dxfId="1" priority="2" operator="greaterThan">
      <formula>0</formula>
    </cfRule>
  </conditionalFormatting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2.38"/>
    <col customWidth="1" min="3" max="3" width="17.88"/>
    <col customWidth="1" min="4" max="4" width="8.38"/>
    <col customWidth="1" min="7" max="7" width="15.25"/>
    <col customWidth="1" min="8" max="8" width="14.75"/>
  </cols>
  <sheetData>
    <row r="2">
      <c r="D2" s="1"/>
      <c r="E2" s="2" t="s">
        <v>0</v>
      </c>
      <c r="F2" s="2" t="s">
        <v>1</v>
      </c>
      <c r="G2" s="2" t="s">
        <v>2</v>
      </c>
      <c r="H2" s="2" t="s">
        <v>3</v>
      </c>
      <c r="I2" s="2" t="s">
        <v>4</v>
      </c>
      <c r="J2" s="2" t="s">
        <v>5</v>
      </c>
      <c r="K2" s="2" t="s">
        <v>18</v>
      </c>
      <c r="L2" s="3" t="s">
        <v>6</v>
      </c>
      <c r="M2" s="3" t="s">
        <v>8</v>
      </c>
      <c r="N2" s="3" t="s">
        <v>9</v>
      </c>
      <c r="O2" s="3" t="s">
        <v>17</v>
      </c>
      <c r="P2" s="4"/>
    </row>
    <row r="3">
      <c r="D3" s="1"/>
      <c r="E3" s="5">
        <f>'Mayo 2026'!E37</f>
        <v>0</v>
      </c>
      <c r="F3" s="5">
        <f>'Mayo 2026'!F37</f>
        <v>0</v>
      </c>
      <c r="G3" s="5">
        <f>'Mayo 2026'!G37</f>
        <v>1064294</v>
      </c>
      <c r="H3" s="5">
        <f>'Mayo 2026'!H37</f>
        <v>0</v>
      </c>
      <c r="I3" s="5">
        <f>'Mayo 2026'!I37</f>
        <v>0</v>
      </c>
      <c r="J3" s="5">
        <f>'Mayo 2026'!J37</f>
        <v>229915</v>
      </c>
      <c r="K3" s="5">
        <f>'Mayo 2026'!K37</f>
        <v>-39698</v>
      </c>
      <c r="L3" s="6">
        <f>'Mayo 2026'!L37</f>
        <v>285750</v>
      </c>
      <c r="M3" s="6">
        <f>'Mayo 2026'!M37</f>
        <v>260000</v>
      </c>
      <c r="N3" s="6">
        <f>'Mayo 2026'!N37</f>
        <v>884272</v>
      </c>
      <c r="O3" s="6">
        <f>'Mayo 2026'!O37</f>
        <v>2045259</v>
      </c>
      <c r="P3" s="4"/>
    </row>
    <row r="4">
      <c r="B4" s="2" t="s">
        <v>12</v>
      </c>
      <c r="C4" s="2" t="s">
        <v>13</v>
      </c>
      <c r="D4" s="1"/>
      <c r="E4" s="8"/>
      <c r="F4" s="8"/>
      <c r="G4" s="5">
        <v>-23182.0</v>
      </c>
      <c r="H4" s="8"/>
      <c r="I4" s="8"/>
      <c r="J4" s="6">
        <f>145834+'Mayo 2026'!K4+'Mayo 2026'!K5</f>
        <v>106136</v>
      </c>
      <c r="K4" s="6">
        <v>24608.0</v>
      </c>
      <c r="L4" s="6">
        <v>-3900.0</v>
      </c>
      <c r="M4" s="6">
        <v>-260000.0</v>
      </c>
      <c r="N4" s="6"/>
      <c r="O4" s="6">
        <v>-148652.0</v>
      </c>
      <c r="P4" s="4"/>
    </row>
    <row r="5">
      <c r="B5" s="10">
        <v>0.0</v>
      </c>
      <c r="C5" s="10">
        <f>B5</f>
        <v>0</v>
      </c>
      <c r="D5" s="1"/>
      <c r="E5" s="8"/>
      <c r="F5" s="8"/>
      <c r="G5" s="8"/>
      <c r="H5" s="8"/>
      <c r="I5" s="8"/>
      <c r="J5" s="6">
        <v>-10000.0</v>
      </c>
      <c r="K5" s="6">
        <v>15090.0</v>
      </c>
      <c r="L5" s="6">
        <v>-60000.0</v>
      </c>
      <c r="M5" s="18">
        <v>150000.0</v>
      </c>
      <c r="N5" s="6"/>
      <c r="O5" s="6">
        <v>62000.0</v>
      </c>
      <c r="P5" s="4"/>
    </row>
    <row r="6">
      <c r="B6" s="19"/>
      <c r="C6" s="19"/>
      <c r="D6" s="1"/>
      <c r="E6" s="8"/>
      <c r="F6" s="8"/>
      <c r="G6" s="8"/>
      <c r="H6" s="8"/>
      <c r="I6" s="8"/>
      <c r="J6" s="6">
        <v>-22886.0</v>
      </c>
      <c r="K6" s="6">
        <v>-8900.0</v>
      </c>
      <c r="L6" s="6">
        <v>-195899.0</v>
      </c>
      <c r="M6" s="18">
        <v>-150000.0</v>
      </c>
      <c r="N6" s="6"/>
      <c r="O6" s="6">
        <v>-80800.0</v>
      </c>
      <c r="P6" s="4"/>
    </row>
    <row r="7">
      <c r="B7" s="1"/>
      <c r="C7" s="1"/>
      <c r="D7" s="1"/>
      <c r="E7" s="8"/>
      <c r="F7" s="8"/>
      <c r="G7" s="8"/>
      <c r="H7" s="8"/>
      <c r="I7" s="8"/>
      <c r="J7" s="6">
        <v>-22886.0</v>
      </c>
      <c r="K7" s="6">
        <v>-29070.0</v>
      </c>
      <c r="L7" s="6">
        <v>-1900.0</v>
      </c>
      <c r="M7" s="18"/>
      <c r="N7" s="6"/>
      <c r="O7" s="6">
        <v>-62000.0</v>
      </c>
      <c r="P7" s="4"/>
    </row>
    <row r="8">
      <c r="B8" s="2" t="s">
        <v>14</v>
      </c>
      <c r="C8" s="2" t="s">
        <v>15</v>
      </c>
      <c r="D8" s="1"/>
      <c r="E8" s="8"/>
      <c r="F8" s="8"/>
      <c r="G8" s="8"/>
      <c r="H8" s="8"/>
      <c r="I8" s="8"/>
      <c r="J8" s="6">
        <v>-24713.0</v>
      </c>
      <c r="K8" s="6">
        <v>-24608.0</v>
      </c>
      <c r="L8" s="6">
        <v>-2920.0</v>
      </c>
      <c r="M8" s="6"/>
      <c r="N8" s="6"/>
      <c r="O8" s="6">
        <v>56319.0</v>
      </c>
      <c r="P8" s="4"/>
    </row>
    <row r="9">
      <c r="B9" s="10">
        <f>SUMIF(E3:O31,"&lt;0")*-1</f>
        <v>1688894</v>
      </c>
      <c r="C9" s="10">
        <f>SUMIF(J3:J31,"&lt;0")*-1</f>
        <v>528923</v>
      </c>
      <c r="D9" s="1"/>
      <c r="E9" s="8"/>
      <c r="F9" s="8"/>
      <c r="G9" s="8"/>
      <c r="H9" s="8"/>
      <c r="I9" s="8"/>
      <c r="J9" s="6">
        <v>-38760.0</v>
      </c>
      <c r="K9" s="6"/>
      <c r="L9" s="6">
        <v>-3270.0</v>
      </c>
      <c r="M9" s="6"/>
      <c r="N9" s="9"/>
      <c r="O9" s="6">
        <v>112640.0</v>
      </c>
      <c r="P9" s="4"/>
    </row>
    <row r="10">
      <c r="D10" s="1"/>
      <c r="E10" s="8"/>
      <c r="F10" s="8"/>
      <c r="G10" s="8"/>
      <c r="H10" s="8"/>
      <c r="I10" s="8"/>
      <c r="J10" s="6">
        <v>-21560.0</v>
      </c>
      <c r="K10" s="6"/>
      <c r="L10" s="6">
        <v>-9362.0</v>
      </c>
      <c r="M10" s="6"/>
      <c r="N10" s="9"/>
      <c r="O10" s="6">
        <v>-2000.0</v>
      </c>
      <c r="P10" s="4"/>
    </row>
    <row r="11">
      <c r="D11" s="4"/>
      <c r="E11" s="9"/>
      <c r="F11" s="9"/>
      <c r="G11" s="9"/>
      <c r="H11" s="9"/>
      <c r="I11" s="9"/>
      <c r="J11" s="6">
        <v>-78190.0</v>
      </c>
      <c r="K11" s="6"/>
      <c r="L11" s="6">
        <v>-26052.0</v>
      </c>
      <c r="M11" s="6"/>
      <c r="N11" s="9"/>
      <c r="O11" s="6">
        <v>-3295.0</v>
      </c>
      <c r="P11" s="4"/>
    </row>
    <row r="12">
      <c r="D12" s="4"/>
      <c r="E12" s="9"/>
      <c r="F12" s="9"/>
      <c r="G12" s="9"/>
      <c r="H12" s="9"/>
      <c r="I12" s="9"/>
      <c r="J12" s="6">
        <v>-78149.0</v>
      </c>
      <c r="K12" s="6"/>
      <c r="L12" s="6">
        <v>-2830.0</v>
      </c>
      <c r="M12" s="6"/>
      <c r="N12" s="9"/>
      <c r="O12" s="6">
        <v>-3763.0</v>
      </c>
      <c r="P12" s="4"/>
    </row>
    <row r="13">
      <c r="D13" s="4"/>
      <c r="E13" s="9"/>
      <c r="F13" s="9"/>
      <c r="G13" s="9"/>
      <c r="H13" s="9"/>
      <c r="I13" s="9"/>
      <c r="J13" s="6">
        <v>-16663.0</v>
      </c>
      <c r="K13" s="6"/>
      <c r="L13" s="6">
        <v>-3780.0</v>
      </c>
      <c r="M13" s="6"/>
      <c r="N13" s="9"/>
      <c r="O13" s="6">
        <v>-10000.0</v>
      </c>
      <c r="P13" s="4"/>
    </row>
    <row r="14">
      <c r="D14" s="4"/>
      <c r="E14" s="9"/>
      <c r="F14" s="9"/>
      <c r="G14" s="9"/>
      <c r="H14" s="9"/>
      <c r="I14" s="9"/>
      <c r="J14" s="6">
        <v>-9996.0</v>
      </c>
      <c r="K14" s="6"/>
      <c r="L14" s="6">
        <v>-4090.0</v>
      </c>
      <c r="M14" s="6"/>
      <c r="N14" s="9"/>
      <c r="O14" s="9"/>
      <c r="P14" s="4"/>
    </row>
    <row r="15">
      <c r="D15" s="4"/>
      <c r="E15" s="9"/>
      <c r="F15" s="11"/>
      <c r="G15" s="9"/>
      <c r="H15" s="9"/>
      <c r="I15" s="9"/>
      <c r="J15" s="6">
        <v>-31333.0</v>
      </c>
      <c r="K15" s="6"/>
      <c r="L15" s="6"/>
      <c r="M15" s="9"/>
      <c r="N15" s="9"/>
      <c r="O15" s="9"/>
      <c r="P15" s="4"/>
    </row>
    <row r="16">
      <c r="D16" s="4"/>
      <c r="E16" s="9"/>
      <c r="F16" s="11"/>
      <c r="G16" s="9"/>
      <c r="H16" s="9"/>
      <c r="I16" s="9"/>
      <c r="J16" s="6">
        <v>-10106.0</v>
      </c>
      <c r="K16" s="6"/>
      <c r="L16" s="6"/>
      <c r="M16" s="9"/>
      <c r="N16" s="9"/>
      <c r="O16" s="9"/>
      <c r="P16" s="4"/>
    </row>
    <row r="17">
      <c r="D17" s="4"/>
      <c r="E17" s="9"/>
      <c r="F17" s="11"/>
      <c r="G17" s="9"/>
      <c r="H17" s="9"/>
      <c r="I17" s="9"/>
      <c r="J17" s="6">
        <f>567894</f>
        <v>567894</v>
      </c>
      <c r="K17" s="6"/>
      <c r="L17" s="6"/>
      <c r="M17" s="9"/>
      <c r="N17" s="9"/>
      <c r="O17" s="9"/>
      <c r="P17" s="4"/>
    </row>
    <row r="18">
      <c r="D18" s="4"/>
      <c r="E18" s="9"/>
      <c r="F18" s="11"/>
      <c r="G18" s="9"/>
      <c r="H18" s="9"/>
      <c r="I18" s="9"/>
      <c r="J18" s="6">
        <v>-12540.0</v>
      </c>
      <c r="K18" s="6"/>
      <c r="L18" s="6"/>
      <c r="M18" s="9"/>
      <c r="N18" s="9"/>
      <c r="O18" s="9"/>
      <c r="P18" s="4"/>
    </row>
    <row r="19">
      <c r="D19" s="4"/>
      <c r="E19" s="9"/>
      <c r="F19" s="11"/>
      <c r="G19" s="9"/>
      <c r="H19" s="9"/>
      <c r="I19" s="9"/>
      <c r="J19" s="6">
        <v>-6390.0</v>
      </c>
      <c r="K19" s="6"/>
      <c r="L19" s="6"/>
      <c r="M19" s="9"/>
      <c r="N19" s="9"/>
      <c r="O19" s="9"/>
      <c r="P19" s="4"/>
    </row>
    <row r="20">
      <c r="D20" s="4"/>
      <c r="E20" s="9"/>
      <c r="F20" s="11"/>
      <c r="G20" s="9"/>
      <c r="H20" s="9"/>
      <c r="I20" s="9"/>
      <c r="J20" s="6">
        <v>-10000.0</v>
      </c>
      <c r="K20" s="6"/>
      <c r="L20" s="6"/>
      <c r="M20" s="9"/>
      <c r="N20" s="9"/>
      <c r="O20" s="9"/>
      <c r="P20" s="4"/>
    </row>
    <row r="21">
      <c r="D21" s="4"/>
      <c r="E21" s="9"/>
      <c r="F21" s="11"/>
      <c r="G21" s="9"/>
      <c r="H21" s="9"/>
      <c r="I21" s="9"/>
      <c r="J21" s="6">
        <v>5044.0</v>
      </c>
      <c r="K21" s="6"/>
      <c r="L21" s="6"/>
      <c r="M21" s="9"/>
      <c r="N21" s="9"/>
      <c r="O21" s="9"/>
      <c r="P21" s="4"/>
    </row>
    <row r="22">
      <c r="D22" s="4"/>
      <c r="E22" s="9"/>
      <c r="F22" s="11"/>
      <c r="G22" s="9"/>
      <c r="H22" s="9"/>
      <c r="I22" s="9"/>
      <c r="J22" s="6">
        <f> -12160</f>
        <v>-12160</v>
      </c>
      <c r="K22" s="6"/>
      <c r="L22" s="6"/>
      <c r="M22" s="9"/>
      <c r="N22" s="9"/>
      <c r="O22" s="9"/>
      <c r="P22" s="4"/>
    </row>
    <row r="23">
      <c r="D23" s="4"/>
      <c r="E23" s="9"/>
      <c r="F23" s="11"/>
      <c r="G23" s="9"/>
      <c r="H23" s="9"/>
      <c r="I23" s="9"/>
      <c r="J23" s="6">
        <v>-10000.0</v>
      </c>
      <c r="K23" s="6"/>
      <c r="L23" s="6"/>
      <c r="M23" s="9"/>
      <c r="N23" s="9"/>
      <c r="O23" s="9"/>
      <c r="P23" s="4"/>
    </row>
    <row r="24">
      <c r="D24" s="4"/>
      <c r="E24" s="9"/>
      <c r="F24" s="11"/>
      <c r="G24" s="9"/>
      <c r="H24" s="9"/>
      <c r="I24" s="9"/>
      <c r="J24" s="6">
        <v>-9027.0</v>
      </c>
      <c r="K24" s="6"/>
      <c r="L24" s="9"/>
      <c r="M24" s="9"/>
      <c r="N24" s="9"/>
      <c r="O24" s="9"/>
      <c r="P24" s="4"/>
    </row>
    <row r="25">
      <c r="D25" s="4"/>
      <c r="E25" s="9"/>
      <c r="F25" s="11"/>
      <c r="G25" s="9"/>
      <c r="H25" s="9"/>
      <c r="I25" s="9"/>
      <c r="J25" s="6">
        <v>-15090.0</v>
      </c>
      <c r="K25" s="6"/>
      <c r="L25" s="9"/>
      <c r="M25" s="9"/>
      <c r="N25" s="9"/>
      <c r="O25" s="9"/>
      <c r="P25" s="4"/>
    </row>
    <row r="26">
      <c r="D26" s="4"/>
      <c r="E26" s="9"/>
      <c r="F26" s="11"/>
      <c r="G26" s="9"/>
      <c r="H26" s="9"/>
      <c r="I26" s="9"/>
      <c r="J26" s="6">
        <v>-6000.0</v>
      </c>
      <c r="K26" s="6"/>
      <c r="L26" s="9"/>
      <c r="M26" s="9"/>
      <c r="N26" s="9"/>
      <c r="O26" s="9"/>
      <c r="P26" s="4"/>
    </row>
    <row r="27">
      <c r="D27" s="4"/>
      <c r="E27" s="9"/>
      <c r="F27" s="11"/>
      <c r="G27" s="9"/>
      <c r="H27" s="9"/>
      <c r="I27" s="9"/>
      <c r="J27" s="6">
        <v>-53327.0</v>
      </c>
      <c r="K27" s="6"/>
      <c r="L27" s="9"/>
      <c r="M27" s="9"/>
      <c r="N27" s="9"/>
      <c r="O27" s="9"/>
      <c r="P27" s="4"/>
    </row>
    <row r="28">
      <c r="D28" s="4"/>
      <c r="E28" s="9"/>
      <c r="F28" s="11"/>
      <c r="G28" s="9"/>
      <c r="H28" s="9"/>
      <c r="I28" s="9"/>
      <c r="J28" s="6">
        <v>-19147.0</v>
      </c>
      <c r="K28" s="6"/>
      <c r="L28" s="9"/>
      <c r="M28" s="9"/>
      <c r="N28" s="9"/>
      <c r="O28" s="9"/>
      <c r="P28" s="4"/>
    </row>
    <row r="29">
      <c r="D29" s="4"/>
      <c r="E29" s="9"/>
      <c r="F29" s="11"/>
      <c r="G29" s="9"/>
      <c r="H29" s="9"/>
      <c r="I29" s="9"/>
      <c r="J29" s="6">
        <v>-10000.0</v>
      </c>
      <c r="K29" s="6"/>
      <c r="L29" s="9"/>
      <c r="M29" s="9"/>
      <c r="N29" s="9"/>
      <c r="O29" s="9"/>
      <c r="P29" s="4"/>
    </row>
    <row r="30">
      <c r="D30" s="4"/>
      <c r="E30" s="9"/>
      <c r="F30" s="11"/>
      <c r="G30" s="9"/>
      <c r="H30" s="9"/>
      <c r="I30" s="9"/>
      <c r="J30" s="6"/>
      <c r="K30" s="6"/>
      <c r="L30" s="9"/>
      <c r="M30" s="9"/>
      <c r="N30" s="9"/>
      <c r="O30" s="9"/>
      <c r="P30" s="4"/>
    </row>
    <row r="31">
      <c r="D31" s="4"/>
      <c r="E31" s="12"/>
      <c r="F31" s="12"/>
      <c r="G31" s="12"/>
      <c r="H31" s="12"/>
      <c r="I31" s="12"/>
      <c r="J31" s="13"/>
      <c r="K31" s="13"/>
      <c r="L31" s="12"/>
      <c r="M31" s="12"/>
      <c r="N31" s="12"/>
      <c r="O31" s="12"/>
      <c r="P31" s="4"/>
    </row>
    <row r="32"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</row>
    <row r="33"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</row>
    <row r="34">
      <c r="D34" s="14" t="s">
        <v>16</v>
      </c>
      <c r="E34" s="15">
        <f t="shared" ref="E34:O34" si="1">SUM(E3:E31)</f>
        <v>0</v>
      </c>
      <c r="F34" s="15">
        <f t="shared" si="1"/>
        <v>0</v>
      </c>
      <c r="G34" s="15">
        <f t="shared" si="1"/>
        <v>1041112</v>
      </c>
      <c r="H34" s="15">
        <f t="shared" si="1"/>
        <v>0</v>
      </c>
      <c r="I34" s="15">
        <f t="shared" si="1"/>
        <v>0</v>
      </c>
      <c r="J34" s="15">
        <f t="shared" si="1"/>
        <v>380066</v>
      </c>
      <c r="K34" s="15">
        <f t="shared" si="1"/>
        <v>-62578</v>
      </c>
      <c r="L34" s="15">
        <f t="shared" si="1"/>
        <v>-28253</v>
      </c>
      <c r="M34" s="15">
        <f t="shared" si="1"/>
        <v>0</v>
      </c>
      <c r="N34" s="15">
        <f t="shared" si="1"/>
        <v>884272</v>
      </c>
      <c r="O34" s="15">
        <f t="shared" si="1"/>
        <v>1965708</v>
      </c>
      <c r="P34" s="16">
        <f>SUM(E34:O34)</f>
        <v>4180327</v>
      </c>
    </row>
  </sheetData>
  <conditionalFormatting sqref="E4:O31">
    <cfRule type="cellIs" dxfId="0" priority="1" operator="lessThan">
      <formula>0</formula>
    </cfRule>
  </conditionalFormatting>
  <conditionalFormatting sqref="E4:O31">
    <cfRule type="cellIs" dxfId="1" priority="2" operator="greaterThan">
      <formula>0</formula>
    </cfRule>
  </conditionalFormatting>
  <drawing r:id="rId2"/>
  <legacyDrawing r:id="rId3"/>
</worksheet>
</file>